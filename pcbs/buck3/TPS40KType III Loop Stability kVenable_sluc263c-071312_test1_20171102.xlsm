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wifi-lights\pcbs\buck3\"/>
    </mc:Choice>
  </mc:AlternateContent>
  <xr:revisionPtr revIDLastSave="0" documentId="13_ncr:1_{E617A29A-66C2-4BD3-8B0D-E026FE8F7925}" xr6:coauthVersionLast="45" xr6:coauthVersionMax="45" xr10:uidLastSave="{00000000-0000-0000-0000-000000000000}"/>
  <bookViews>
    <workbookView xWindow="-28920" yWindow="1095" windowWidth="29040" windowHeight="16440" tabRatio="690" activeTab="1" xr2:uid="{00000000-000D-0000-FFFF-FFFF00000000}"/>
  </bookViews>
  <sheets>
    <sheet name="Instructions" sheetId="9" r:id="rId1"/>
    <sheet name="Input and Results" sheetId="1" r:id="rId2"/>
    <sheet name="Sheet1" sheetId="13" r:id="rId3"/>
  </sheets>
  <definedNames>
    <definedName name="_xlnm._FilterDatabase" localSheetId="1" hidden="1">'Input and Results'!$R$8:$R$20</definedName>
    <definedName name="C_1">'Input and Results'!$G$17</definedName>
    <definedName name="C_2">'Input and Results'!$G$18</definedName>
    <definedName name="C_3">'Input and Results'!$G$19</definedName>
    <definedName name="COUT">'Input and Results'!$B$46</definedName>
    <definedName name="DCGAIN">'Input and Results'!$B$69</definedName>
    <definedName name="DCR">'Input and Results'!$B$11</definedName>
    <definedName name="EAP">'Input and Results'!$B$51</definedName>
    <definedName name="ESR">'Input and Results'!$B$47</definedName>
    <definedName name="Fco">'Input and Results'!$B$7</definedName>
    <definedName name="Fp_1">'Input and Results'!$G$7</definedName>
    <definedName name="Fp_2">'Input and Results'!$G$8</definedName>
    <definedName name="FSW">'Input and Results'!#REF!</definedName>
    <definedName name="Fz_1">'Input and Results'!$G$5</definedName>
    <definedName name="Fz_2">'Input and Results'!$G$6</definedName>
    <definedName name="GBWP">'Input and Results'!$B$68</definedName>
    <definedName name="IC">'Input and Results'!$B$18</definedName>
    <definedName name="IOUT_max">'Input and Results'!$B$6</definedName>
    <definedName name="LOUT">'Input and Results'!$B$10</definedName>
    <definedName name="MLCC">'Input and Results'!$B$49</definedName>
    <definedName name="MLCC_ESR">'Input and Results'!$B$50</definedName>
    <definedName name="PM">'Input and Results'!$B$8</definedName>
    <definedName name="_xlnm.Print_Area" localSheetId="1">'Input and Results'!$A$1:$Q$44</definedName>
    <definedName name="R_1">'Input and Results'!$G$13</definedName>
    <definedName name="R_2">'Input and Results'!$G$14</definedName>
    <definedName name="R_3">'Input and Results'!$G$15</definedName>
    <definedName name="R_4">'Input and Results'!$G$16</definedName>
    <definedName name="RLOAD">'Input and Results'!$C$54</definedName>
    <definedName name="ROUT_min">'Input and Results'!$F$54</definedName>
    <definedName name="VIN">'Input and Results'!$B$4</definedName>
    <definedName name="VOUT">'Input and Results'!$B$5</definedName>
    <definedName name="VRAMP">'Input and Results'!$B$66</definedName>
    <definedName name="VREF">'Input and Results'!$B$67</definedName>
    <definedName name="VRMP">'Input and Results'!$B$66</definedName>
    <definedName name="wCO">'Input and Results'!$F$55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7" i="13" l="1"/>
  <c r="I46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1" i="13"/>
  <c r="S26" i="1"/>
  <c r="B68" i="1"/>
  <c r="B69" i="1"/>
  <c r="B67" i="1"/>
  <c r="S29" i="1"/>
  <c r="S33" i="1"/>
  <c r="S32" i="1"/>
  <c r="S30" i="1"/>
  <c r="F55" i="1"/>
  <c r="F60" i="1" s="1"/>
  <c r="B46" i="1"/>
  <c r="B47" i="1"/>
  <c r="B49" i="1"/>
  <c r="B50" i="1"/>
  <c r="I5" i="1"/>
  <c r="G13" i="1" s="1"/>
  <c r="S11" i="1"/>
  <c r="B66" i="1" s="1"/>
  <c r="F62" i="1" s="1"/>
  <c r="F54" i="1"/>
  <c r="X3" i="1"/>
  <c r="AB3" i="1"/>
  <c r="X4" i="1"/>
  <c r="AB4" i="1"/>
  <c r="X5" i="1"/>
  <c r="AB5" i="1"/>
  <c r="S10" i="1"/>
  <c r="S12" i="1"/>
  <c r="S13" i="1"/>
  <c r="S15" i="1"/>
  <c r="A21" i="1"/>
  <c r="A20" i="1" s="1"/>
  <c r="A19" i="1" s="1"/>
  <c r="Q80" i="1"/>
  <c r="M80" i="1"/>
  <c r="S20" i="1"/>
  <c r="S21" i="1"/>
  <c r="S22" i="1"/>
  <c r="S23" i="1"/>
  <c r="S24" i="1"/>
  <c r="S25" i="1"/>
  <c r="R39" i="1"/>
  <c r="S39" i="1"/>
  <c r="S28" i="1" s="1"/>
  <c r="T39" i="1"/>
  <c r="S31" i="1"/>
  <c r="B80" i="1"/>
  <c r="R81" i="1"/>
  <c r="C81" i="1" s="1"/>
  <c r="Q81" i="1"/>
  <c r="M81" i="1" s="1"/>
  <c r="B81" i="1"/>
  <c r="R82" i="1"/>
  <c r="R83" i="1" s="1"/>
  <c r="R84" i="1" s="1"/>
  <c r="C82" i="1"/>
  <c r="C83" i="1"/>
  <c r="B83" i="1" s="1"/>
  <c r="Q82" i="1" l="1"/>
  <c r="M82" i="1" s="1"/>
  <c r="B82" i="1"/>
  <c r="R85" i="1"/>
  <c r="C84" i="1"/>
  <c r="Q83" i="1"/>
  <c r="M83" i="1" s="1"/>
  <c r="C21" i="1"/>
  <c r="C20" i="1"/>
  <c r="I82" i="1"/>
  <c r="I8" i="1"/>
  <c r="Y5" i="1" s="1"/>
  <c r="Z5" i="1" s="1"/>
  <c r="AA5" i="1" s="1"/>
  <c r="G16" i="1" s="1"/>
  <c r="J21" i="1" s="1"/>
  <c r="Y83" i="1"/>
  <c r="Y81" i="1"/>
  <c r="X81" i="1" s="1"/>
  <c r="Y80" i="1"/>
  <c r="W80" i="1" s="1"/>
  <c r="Y82" i="1"/>
  <c r="Y84" i="1"/>
  <c r="N6" i="1"/>
  <c r="N4" i="1"/>
  <c r="I80" i="1"/>
  <c r="I83" i="1"/>
  <c r="I81" i="1"/>
  <c r="H83" i="1"/>
  <c r="H82" i="1"/>
  <c r="F59" i="1"/>
  <c r="F61" i="1" s="1"/>
  <c r="F56" i="1" s="1"/>
  <c r="F58" i="1" s="1"/>
  <c r="H81" i="1"/>
  <c r="N5" i="1"/>
  <c r="H80" i="1"/>
  <c r="X83" i="1" l="1"/>
  <c r="W83" i="1"/>
  <c r="J82" i="1"/>
  <c r="L82" i="1" s="1"/>
  <c r="N82" i="1" s="1"/>
  <c r="S82" i="1" s="1"/>
  <c r="B84" i="1"/>
  <c r="Q84" i="1"/>
  <c r="C85" i="1"/>
  <c r="R86" i="1"/>
  <c r="J83" i="1"/>
  <c r="L83" i="1" s="1"/>
  <c r="N83" i="1" s="1"/>
  <c r="O83" i="1" s="1"/>
  <c r="W81" i="1"/>
  <c r="X80" i="1"/>
  <c r="W84" i="1"/>
  <c r="X84" i="1"/>
  <c r="W82" i="1"/>
  <c r="X82" i="1"/>
  <c r="J80" i="1"/>
  <c r="L80" i="1" s="1"/>
  <c r="N80" i="1" s="1"/>
  <c r="O80" i="1" s="1"/>
  <c r="J81" i="1"/>
  <c r="L81" i="1" s="1"/>
  <c r="N81" i="1" s="1"/>
  <c r="O81" i="1" s="1"/>
  <c r="F57" i="1"/>
  <c r="G9" i="1" s="1"/>
  <c r="G7" i="1" s="1"/>
  <c r="O82" i="1" l="1"/>
  <c r="P82" i="1"/>
  <c r="R87" i="1"/>
  <c r="C86" i="1"/>
  <c r="Q85" i="1"/>
  <c r="B85" i="1"/>
  <c r="Y85" i="1"/>
  <c r="S83" i="1"/>
  <c r="P83" i="1"/>
  <c r="M84" i="1"/>
  <c r="I84" i="1"/>
  <c r="H84" i="1"/>
  <c r="J84" i="1" s="1"/>
  <c r="L84" i="1" s="1"/>
  <c r="S81" i="1"/>
  <c r="P81" i="1"/>
  <c r="S80" i="1"/>
  <c r="P80" i="1"/>
  <c r="G5" i="1"/>
  <c r="I9" i="1" s="1"/>
  <c r="I6" i="1" s="1"/>
  <c r="Y3" i="1" s="1"/>
  <c r="Z3" i="1" s="1"/>
  <c r="AA3" i="1" s="1"/>
  <c r="G14" i="1" s="1"/>
  <c r="G8" i="1"/>
  <c r="G6" i="1"/>
  <c r="N84" i="1" l="1"/>
  <c r="P84" i="1" s="1"/>
  <c r="W85" i="1"/>
  <c r="X85" i="1"/>
  <c r="M85" i="1"/>
  <c r="I85" i="1"/>
  <c r="H85" i="1"/>
  <c r="J85" i="1" s="1"/>
  <c r="L85" i="1" s="1"/>
  <c r="Q86" i="1"/>
  <c r="B86" i="1"/>
  <c r="Y86" i="1"/>
  <c r="C87" i="1"/>
  <c r="R88" i="1"/>
  <c r="I10" i="1"/>
  <c r="I7" i="1" s="1"/>
  <c r="Y4" i="1" s="1"/>
  <c r="Z4" i="1" s="1"/>
  <c r="AA4" i="1" s="1"/>
  <c r="G15" i="1" s="1"/>
  <c r="AD10" i="1"/>
  <c r="AE10" i="1"/>
  <c r="AC3" i="1"/>
  <c r="S84" i="1" l="1"/>
  <c r="O84" i="1"/>
  <c r="N85" i="1"/>
  <c r="S85" i="1" s="1"/>
  <c r="C88" i="1"/>
  <c r="R89" i="1"/>
  <c r="Q87" i="1"/>
  <c r="B87" i="1"/>
  <c r="Y87" i="1"/>
  <c r="W86" i="1"/>
  <c r="X86" i="1"/>
  <c r="M86" i="1"/>
  <c r="I86" i="1"/>
  <c r="H86" i="1"/>
  <c r="J86" i="1" s="1"/>
  <c r="L86" i="1" s="1"/>
  <c r="I11" i="1"/>
  <c r="AC5" i="1" s="1"/>
  <c r="AD11" i="1"/>
  <c r="AE11" i="1"/>
  <c r="AC4" i="1"/>
  <c r="AD7" i="1" s="1"/>
  <c r="AD6" i="1"/>
  <c r="AD3" i="1"/>
  <c r="AE3" i="1" s="1"/>
  <c r="G17" i="1" s="1"/>
  <c r="N86" i="1" l="1"/>
  <c r="P86" i="1" s="1"/>
  <c r="O85" i="1"/>
  <c r="P85" i="1"/>
  <c r="W87" i="1"/>
  <c r="X87" i="1"/>
  <c r="C89" i="1"/>
  <c r="R90" i="1"/>
  <c r="B88" i="1"/>
  <c r="Q88" i="1"/>
  <c r="Y88" i="1"/>
  <c r="M87" i="1"/>
  <c r="H87" i="1"/>
  <c r="J87" i="1" s="1"/>
  <c r="L87" i="1" s="1"/>
  <c r="I87" i="1"/>
  <c r="AE12" i="1"/>
  <c r="AD12" i="1"/>
  <c r="AD4" i="1"/>
  <c r="AE4" i="1" s="1"/>
  <c r="G18" i="1" s="1"/>
  <c r="AB93" i="1"/>
  <c r="AD93" i="1" s="1"/>
  <c r="AB91" i="1"/>
  <c r="AD91" i="1" s="1"/>
  <c r="AB92" i="1"/>
  <c r="AD92" i="1" s="1"/>
  <c r="AB95" i="1"/>
  <c r="AD95" i="1" s="1"/>
  <c r="AB98" i="1"/>
  <c r="AD98" i="1" s="1"/>
  <c r="AB89" i="1"/>
  <c r="AD89" i="1" s="1"/>
  <c r="AB96" i="1"/>
  <c r="AD96" i="1" s="1"/>
  <c r="AB94" i="1"/>
  <c r="AD94" i="1" s="1"/>
  <c r="AB90" i="1"/>
  <c r="AD90" i="1" s="1"/>
  <c r="AB97" i="1"/>
  <c r="AD97" i="1" s="1"/>
  <c r="I14" i="1"/>
  <c r="T83" i="1"/>
  <c r="T85" i="1"/>
  <c r="T87" i="1"/>
  <c r="T81" i="1"/>
  <c r="T84" i="1"/>
  <c r="T80" i="1"/>
  <c r="T82" i="1"/>
  <c r="T86" i="1"/>
  <c r="I16" i="1"/>
  <c r="T88" i="1"/>
  <c r="AD5" i="1"/>
  <c r="AE5" i="1" s="1"/>
  <c r="G19" i="1" s="1"/>
  <c r="AD8" i="1"/>
  <c r="O86" i="1" l="1"/>
  <c r="N87" i="1"/>
  <c r="S87" i="1" s="1"/>
  <c r="S86" i="1"/>
  <c r="R91" i="1"/>
  <c r="C90" i="1"/>
  <c r="Q89" i="1"/>
  <c r="B89" i="1"/>
  <c r="Y89" i="1"/>
  <c r="O87" i="1"/>
  <c r="P87" i="1"/>
  <c r="X88" i="1"/>
  <c r="W88" i="1"/>
  <c r="M88" i="1"/>
  <c r="I88" i="1"/>
  <c r="H88" i="1"/>
  <c r="J88" i="1" s="1"/>
  <c r="L88" i="1" s="1"/>
  <c r="I17" i="1"/>
  <c r="AA90" i="1"/>
  <c r="I15" i="1"/>
  <c r="AA94" i="1"/>
  <c r="AA96" i="1"/>
  <c r="AA92" i="1"/>
  <c r="AA95" i="1"/>
  <c r="AA99" i="1"/>
  <c r="AA89" i="1"/>
  <c r="AA97" i="1"/>
  <c r="AA98" i="1"/>
  <c r="AA91" i="1"/>
  <c r="AA93" i="1"/>
  <c r="Z83" i="1"/>
  <c r="Z89" i="1"/>
  <c r="Z90" i="1"/>
  <c r="Z81" i="1"/>
  <c r="Z84" i="1"/>
  <c r="Z85" i="1"/>
  <c r="Z87" i="1"/>
  <c r="Z88" i="1"/>
  <c r="Z86" i="1"/>
  <c r="Z82" i="1"/>
  <c r="Z80" i="1"/>
  <c r="N88" i="1" l="1"/>
  <c r="P88" i="1" s="1"/>
  <c r="AC89" i="1"/>
  <c r="AE89" i="1" s="1"/>
  <c r="V80" i="1" s="1"/>
  <c r="E80" i="1" s="1"/>
  <c r="X89" i="1"/>
  <c r="W89" i="1"/>
  <c r="M89" i="1"/>
  <c r="I89" i="1"/>
  <c r="H89" i="1"/>
  <c r="J89" i="1" s="1"/>
  <c r="L89" i="1" s="1"/>
  <c r="T89" i="1"/>
  <c r="Q90" i="1"/>
  <c r="B90" i="1"/>
  <c r="Y90" i="1"/>
  <c r="AB99" i="1"/>
  <c r="AD99" i="1" s="1"/>
  <c r="C91" i="1"/>
  <c r="R92" i="1"/>
  <c r="AC97" i="1"/>
  <c r="AE97" i="1" s="1"/>
  <c r="V88" i="1" s="1"/>
  <c r="AC95" i="1"/>
  <c r="AE95" i="1" s="1"/>
  <c r="V86" i="1" s="1"/>
  <c r="E86" i="1" s="1"/>
  <c r="AC90" i="1"/>
  <c r="AE90" i="1" s="1"/>
  <c r="U81" i="1" s="1"/>
  <c r="D81" i="1" s="1"/>
  <c r="A81" i="1" s="1"/>
  <c r="AC91" i="1"/>
  <c r="AE91" i="1" s="1"/>
  <c r="U82" i="1" s="1"/>
  <c r="D82" i="1" s="1"/>
  <c r="A82" i="1" s="1"/>
  <c r="AC96" i="1"/>
  <c r="AE96" i="1" s="1"/>
  <c r="V87" i="1" s="1"/>
  <c r="E87" i="1" s="1"/>
  <c r="AC99" i="1"/>
  <c r="AC94" i="1"/>
  <c r="AE94" i="1" s="1"/>
  <c r="U85" i="1" s="1"/>
  <c r="D85" i="1" s="1"/>
  <c r="A85" i="1" s="1"/>
  <c r="AC92" i="1"/>
  <c r="AE92" i="1" s="1"/>
  <c r="V83" i="1" s="1"/>
  <c r="E83" i="1" s="1"/>
  <c r="AC93" i="1"/>
  <c r="AE93" i="1" s="1"/>
  <c r="U84" i="1" s="1"/>
  <c r="D84" i="1" s="1"/>
  <c r="A84" i="1" s="1"/>
  <c r="AC98" i="1"/>
  <c r="AE98" i="1" s="1"/>
  <c r="U89" i="1" s="1"/>
  <c r="N89" i="1" l="1"/>
  <c r="P89" i="1" s="1"/>
  <c r="S88" i="1"/>
  <c r="E88" i="1"/>
  <c r="O88" i="1"/>
  <c r="AE99" i="1"/>
  <c r="V90" i="1" s="1"/>
  <c r="U80" i="1"/>
  <c r="D80" i="1" s="1"/>
  <c r="A80" i="1" s="1"/>
  <c r="C92" i="1"/>
  <c r="R93" i="1"/>
  <c r="B91" i="1"/>
  <c r="Q91" i="1"/>
  <c r="Y91" i="1"/>
  <c r="AB100" i="1"/>
  <c r="AD100" i="1" s="1"/>
  <c r="Z91" i="1"/>
  <c r="AA100" i="1"/>
  <c r="O89" i="1"/>
  <c r="S89" i="1"/>
  <c r="D89" i="1" s="1"/>
  <c r="A89" i="1" s="1"/>
  <c r="U86" i="1"/>
  <c r="D86" i="1" s="1"/>
  <c r="A86" i="1" s="1"/>
  <c r="W90" i="1"/>
  <c r="X90" i="1"/>
  <c r="M90" i="1"/>
  <c r="I90" i="1"/>
  <c r="H90" i="1"/>
  <c r="T90" i="1"/>
  <c r="U88" i="1"/>
  <c r="U83" i="1"/>
  <c r="D83" i="1" s="1"/>
  <c r="A83" i="1" s="1"/>
  <c r="V85" i="1"/>
  <c r="E85" i="1" s="1"/>
  <c r="V81" i="1"/>
  <c r="E81" i="1" s="1"/>
  <c r="V82" i="1"/>
  <c r="E82" i="1" s="1"/>
  <c r="U87" i="1"/>
  <c r="D87" i="1" s="1"/>
  <c r="A87" i="1" s="1"/>
  <c r="V89" i="1"/>
  <c r="V84" i="1"/>
  <c r="E84" i="1" s="1"/>
  <c r="D88" i="1" l="1"/>
  <c r="A88" i="1" s="1"/>
  <c r="E89" i="1"/>
  <c r="U90" i="1"/>
  <c r="W91" i="1"/>
  <c r="X91" i="1"/>
  <c r="M91" i="1"/>
  <c r="I91" i="1"/>
  <c r="H91" i="1"/>
  <c r="J91" i="1" s="1"/>
  <c r="L91" i="1" s="1"/>
  <c r="T91" i="1"/>
  <c r="AC100" i="1"/>
  <c r="AE100" i="1" s="1"/>
  <c r="C93" i="1"/>
  <c r="R94" i="1"/>
  <c r="J90" i="1"/>
  <c r="L90" i="1" s="1"/>
  <c r="N90" i="1" s="1"/>
  <c r="B92" i="1"/>
  <c r="Q92" i="1"/>
  <c r="Y92" i="1"/>
  <c r="AB101" i="1"/>
  <c r="AD101" i="1" s="1"/>
  <c r="Z92" i="1"/>
  <c r="AA101" i="1"/>
  <c r="N91" i="1" l="1"/>
  <c r="P91" i="1" s="1"/>
  <c r="AC101" i="1"/>
  <c r="AE101" i="1" s="1"/>
  <c r="V92" i="1" s="1"/>
  <c r="U91" i="1"/>
  <c r="V91" i="1"/>
  <c r="M92" i="1"/>
  <c r="H92" i="1"/>
  <c r="J92" i="1" s="1"/>
  <c r="L92" i="1" s="1"/>
  <c r="I92" i="1"/>
  <c r="T92" i="1"/>
  <c r="X92" i="1"/>
  <c r="W92" i="1"/>
  <c r="S90" i="1"/>
  <c r="D90" i="1" s="1"/>
  <c r="A90" i="1" s="1"/>
  <c r="O90" i="1"/>
  <c r="P90" i="1"/>
  <c r="E90" i="1" s="1"/>
  <c r="C94" i="1"/>
  <c r="R95" i="1"/>
  <c r="B93" i="1"/>
  <c r="Q93" i="1"/>
  <c r="Y93" i="1"/>
  <c r="AB102" i="1"/>
  <c r="AD102" i="1" s="1"/>
  <c r="Z93" i="1"/>
  <c r="AA102" i="1"/>
  <c r="N92" i="1" l="1"/>
  <c r="S92" i="1" s="1"/>
  <c r="E91" i="1"/>
  <c r="S91" i="1"/>
  <c r="D91" i="1" s="1"/>
  <c r="A91" i="1" s="1"/>
  <c r="O91" i="1"/>
  <c r="U92" i="1"/>
  <c r="R96" i="1"/>
  <c r="C95" i="1"/>
  <c r="Q94" i="1"/>
  <c r="B94" i="1"/>
  <c r="Y94" i="1"/>
  <c r="AB103" i="1"/>
  <c r="AD103" i="1" s="1"/>
  <c r="Z94" i="1"/>
  <c r="AA103" i="1"/>
  <c r="X93" i="1"/>
  <c r="W93" i="1"/>
  <c r="M93" i="1"/>
  <c r="I93" i="1"/>
  <c r="H93" i="1"/>
  <c r="J93" i="1" s="1"/>
  <c r="L93" i="1" s="1"/>
  <c r="T93" i="1"/>
  <c r="AC102" i="1"/>
  <c r="AE102" i="1" s="1"/>
  <c r="O92" i="1" l="1"/>
  <c r="P92" i="1"/>
  <c r="E92" i="1" s="1"/>
  <c r="N93" i="1"/>
  <c r="P93" i="1" s="1"/>
  <c r="D92" i="1"/>
  <c r="A92" i="1" s="1"/>
  <c r="AC103" i="1"/>
  <c r="AE103" i="1" s="1"/>
  <c r="U94" i="1" s="1"/>
  <c r="M94" i="1"/>
  <c r="I94" i="1"/>
  <c r="H94" i="1"/>
  <c r="J94" i="1" s="1"/>
  <c r="L94" i="1" s="1"/>
  <c r="T94" i="1"/>
  <c r="V93" i="1"/>
  <c r="U93" i="1"/>
  <c r="B95" i="1"/>
  <c r="Q95" i="1"/>
  <c r="Y95" i="1"/>
  <c r="AB104" i="1"/>
  <c r="AD104" i="1" s="1"/>
  <c r="AA104" i="1"/>
  <c r="Z95" i="1"/>
  <c r="W94" i="1"/>
  <c r="X94" i="1"/>
  <c r="C96" i="1"/>
  <c r="R97" i="1"/>
  <c r="N94" i="1" l="1"/>
  <c r="O94" i="1" s="1"/>
  <c r="O93" i="1"/>
  <c r="S93" i="1"/>
  <c r="D93" i="1" s="1"/>
  <c r="A93" i="1" s="1"/>
  <c r="V94" i="1"/>
  <c r="W95" i="1"/>
  <c r="X95" i="1"/>
  <c r="C97" i="1"/>
  <c r="R98" i="1"/>
  <c r="M95" i="1"/>
  <c r="H95" i="1"/>
  <c r="I95" i="1"/>
  <c r="T95" i="1"/>
  <c r="Q96" i="1"/>
  <c r="B96" i="1"/>
  <c r="Y96" i="1"/>
  <c r="AB105" i="1"/>
  <c r="AD105" i="1" s="1"/>
  <c r="AA105" i="1"/>
  <c r="Z96" i="1"/>
  <c r="AC104" i="1"/>
  <c r="AE104" i="1" s="1"/>
  <c r="E93" i="1"/>
  <c r="S94" i="1" l="1"/>
  <c r="D94" i="1" s="1"/>
  <c r="A94" i="1" s="1"/>
  <c r="P94" i="1"/>
  <c r="E94" i="1" s="1"/>
  <c r="AC105" i="1"/>
  <c r="AE105" i="1" s="1"/>
  <c r="U96" i="1" s="1"/>
  <c r="V95" i="1"/>
  <c r="U95" i="1"/>
  <c r="M96" i="1"/>
  <c r="I96" i="1"/>
  <c r="H96" i="1"/>
  <c r="J96" i="1" s="1"/>
  <c r="L96" i="1" s="1"/>
  <c r="T96" i="1"/>
  <c r="X96" i="1"/>
  <c r="W96" i="1"/>
  <c r="Q97" i="1"/>
  <c r="B97" i="1"/>
  <c r="Y97" i="1"/>
  <c r="AB106" i="1"/>
  <c r="AD106" i="1" s="1"/>
  <c r="Z97" i="1"/>
  <c r="AA106" i="1"/>
  <c r="J95" i="1"/>
  <c r="L95" i="1" s="1"/>
  <c r="N95" i="1" s="1"/>
  <c r="R99" i="1"/>
  <c r="C98" i="1"/>
  <c r="N96" i="1" l="1"/>
  <c r="O96" i="1" s="1"/>
  <c r="V96" i="1"/>
  <c r="W97" i="1"/>
  <c r="X97" i="1"/>
  <c r="C99" i="1"/>
  <c r="R100" i="1"/>
  <c r="P95" i="1"/>
  <c r="E95" i="1" s="1"/>
  <c r="S95" i="1"/>
  <c r="D95" i="1" s="1"/>
  <c r="A95" i="1" s="1"/>
  <c r="O95" i="1"/>
  <c r="M97" i="1"/>
  <c r="I97" i="1"/>
  <c r="H97" i="1"/>
  <c r="J97" i="1" s="1"/>
  <c r="L97" i="1" s="1"/>
  <c r="T97" i="1"/>
  <c r="AC106" i="1"/>
  <c r="AE106" i="1" s="1"/>
  <c r="Q98" i="1"/>
  <c r="B98" i="1"/>
  <c r="Y98" i="1"/>
  <c r="AB107" i="1"/>
  <c r="AD107" i="1" s="1"/>
  <c r="Z98" i="1"/>
  <c r="AA107" i="1"/>
  <c r="N97" i="1" l="1"/>
  <c r="S97" i="1" s="1"/>
  <c r="S96" i="1"/>
  <c r="D96" i="1" s="1"/>
  <c r="A96" i="1" s="1"/>
  <c r="P96" i="1"/>
  <c r="E96" i="1" s="1"/>
  <c r="C100" i="1"/>
  <c r="R101" i="1"/>
  <c r="B99" i="1"/>
  <c r="Q99" i="1"/>
  <c r="Y99" i="1"/>
  <c r="AB108" i="1"/>
  <c r="AD108" i="1" s="1"/>
  <c r="Z99" i="1"/>
  <c r="AA108" i="1"/>
  <c r="X98" i="1"/>
  <c r="W98" i="1"/>
  <c r="M98" i="1"/>
  <c r="I98" i="1"/>
  <c r="H98" i="1"/>
  <c r="J98" i="1" s="1"/>
  <c r="L98" i="1" s="1"/>
  <c r="T98" i="1"/>
  <c r="AC107" i="1"/>
  <c r="AE107" i="1" s="1"/>
  <c r="U97" i="1"/>
  <c r="V97" i="1"/>
  <c r="D97" i="1" l="1"/>
  <c r="A97" i="1" s="1"/>
  <c r="O97" i="1"/>
  <c r="P97" i="1"/>
  <c r="E97" i="1" s="1"/>
  <c r="N98" i="1"/>
  <c r="P98" i="1" s="1"/>
  <c r="X99" i="1"/>
  <c r="W99" i="1"/>
  <c r="M99" i="1"/>
  <c r="I99" i="1"/>
  <c r="H99" i="1"/>
  <c r="T99" i="1"/>
  <c r="C101" i="1"/>
  <c r="R102" i="1"/>
  <c r="B100" i="1"/>
  <c r="Q100" i="1"/>
  <c r="Y100" i="1"/>
  <c r="AB109" i="1"/>
  <c r="AD109" i="1" s="1"/>
  <c r="AA109" i="1"/>
  <c r="Z100" i="1"/>
  <c r="U98" i="1"/>
  <c r="V98" i="1"/>
  <c r="AC108" i="1"/>
  <c r="AE108" i="1" s="1"/>
  <c r="O98" i="1" l="1"/>
  <c r="S98" i="1"/>
  <c r="D98" i="1" s="1"/>
  <c r="A98" i="1" s="1"/>
  <c r="E98" i="1"/>
  <c r="X100" i="1"/>
  <c r="W100" i="1"/>
  <c r="J99" i="1"/>
  <c r="L99" i="1" s="1"/>
  <c r="N99" i="1" s="1"/>
  <c r="Q101" i="1"/>
  <c r="B101" i="1"/>
  <c r="Y101" i="1"/>
  <c r="AB110" i="1"/>
  <c r="AD110" i="1" s="1"/>
  <c r="Z101" i="1"/>
  <c r="AA110" i="1"/>
  <c r="M100" i="1"/>
  <c r="I100" i="1"/>
  <c r="H100" i="1"/>
  <c r="J100" i="1" s="1"/>
  <c r="L100" i="1" s="1"/>
  <c r="T100" i="1"/>
  <c r="R103" i="1"/>
  <c r="C102" i="1"/>
  <c r="U99" i="1"/>
  <c r="V99" i="1"/>
  <c r="AC109" i="1"/>
  <c r="AE109" i="1" s="1"/>
  <c r="N100" i="1" l="1"/>
  <c r="P100" i="1" s="1"/>
  <c r="AC110" i="1"/>
  <c r="AE110" i="1" s="1"/>
  <c r="V101" i="1" s="1"/>
  <c r="Q102" i="1"/>
  <c r="B102" i="1"/>
  <c r="Y102" i="1"/>
  <c r="AB111" i="1"/>
  <c r="AD111" i="1" s="1"/>
  <c r="Z102" i="1"/>
  <c r="AA111" i="1"/>
  <c r="X101" i="1"/>
  <c r="W101" i="1"/>
  <c r="C103" i="1"/>
  <c r="R104" i="1"/>
  <c r="P99" i="1"/>
  <c r="E99" i="1" s="1"/>
  <c r="O99" i="1"/>
  <c r="S99" i="1"/>
  <c r="D99" i="1" s="1"/>
  <c r="A99" i="1" s="1"/>
  <c r="U100" i="1"/>
  <c r="V100" i="1"/>
  <c r="M101" i="1"/>
  <c r="I101" i="1"/>
  <c r="H101" i="1"/>
  <c r="J101" i="1" s="1"/>
  <c r="L101" i="1" s="1"/>
  <c r="T101" i="1"/>
  <c r="N101" i="1" l="1"/>
  <c r="O101" i="1" s="1"/>
  <c r="S100" i="1"/>
  <c r="D100" i="1" s="1"/>
  <c r="A100" i="1" s="1"/>
  <c r="O100" i="1"/>
  <c r="U101" i="1"/>
  <c r="X102" i="1"/>
  <c r="W102" i="1"/>
  <c r="AC111" i="1"/>
  <c r="AE111" i="1" s="1"/>
  <c r="B103" i="1"/>
  <c r="Q103" i="1"/>
  <c r="Y103" i="1"/>
  <c r="AB112" i="1"/>
  <c r="AD112" i="1" s="1"/>
  <c r="Z103" i="1"/>
  <c r="AA112" i="1"/>
  <c r="M102" i="1"/>
  <c r="I102" i="1"/>
  <c r="H102" i="1"/>
  <c r="J102" i="1" s="1"/>
  <c r="L102" i="1" s="1"/>
  <c r="T102" i="1"/>
  <c r="R105" i="1"/>
  <c r="C104" i="1"/>
  <c r="E100" i="1"/>
  <c r="P101" i="1" l="1"/>
  <c r="E101" i="1" s="1"/>
  <c r="S101" i="1"/>
  <c r="D101" i="1" s="1"/>
  <c r="A101" i="1" s="1"/>
  <c r="N102" i="1"/>
  <c r="S102" i="1" s="1"/>
  <c r="U102" i="1"/>
  <c r="V102" i="1"/>
  <c r="M103" i="1"/>
  <c r="I103" i="1"/>
  <c r="H103" i="1"/>
  <c r="J103" i="1" s="1"/>
  <c r="L103" i="1" s="1"/>
  <c r="T103" i="1"/>
  <c r="AC112" i="1"/>
  <c r="AE112" i="1" s="1"/>
  <c r="Q104" i="1"/>
  <c r="B104" i="1"/>
  <c r="Y104" i="1"/>
  <c r="AB113" i="1"/>
  <c r="AD113" i="1" s="1"/>
  <c r="AA113" i="1"/>
  <c r="Z104" i="1"/>
  <c r="C105" i="1"/>
  <c r="R106" i="1"/>
  <c r="W103" i="1"/>
  <c r="X103" i="1"/>
  <c r="N103" i="1" l="1"/>
  <c r="S103" i="1" s="1"/>
  <c r="O102" i="1"/>
  <c r="P102" i="1"/>
  <c r="E102" i="1" s="1"/>
  <c r="AC113" i="1"/>
  <c r="AE113" i="1" s="1"/>
  <c r="U104" i="1" s="1"/>
  <c r="X104" i="1"/>
  <c r="W104" i="1"/>
  <c r="M104" i="1"/>
  <c r="I104" i="1"/>
  <c r="H104" i="1"/>
  <c r="J104" i="1" s="1"/>
  <c r="L104" i="1" s="1"/>
  <c r="T104" i="1"/>
  <c r="C106" i="1"/>
  <c r="R107" i="1"/>
  <c r="U103" i="1"/>
  <c r="V103" i="1"/>
  <c r="B105" i="1"/>
  <c r="Q105" i="1"/>
  <c r="Y105" i="1"/>
  <c r="AB114" i="1"/>
  <c r="AD114" i="1" s="1"/>
  <c r="AA114" i="1"/>
  <c r="Z105" i="1"/>
  <c r="D102" i="1"/>
  <c r="A102" i="1" s="1"/>
  <c r="P103" i="1" l="1"/>
  <c r="E103" i="1" s="1"/>
  <c r="O103" i="1"/>
  <c r="N104" i="1"/>
  <c r="P104" i="1" s="1"/>
  <c r="D103" i="1"/>
  <c r="A103" i="1" s="1"/>
  <c r="V104" i="1"/>
  <c r="AC114" i="1"/>
  <c r="AE114" i="1" s="1"/>
  <c r="C107" i="1"/>
  <c r="R108" i="1"/>
  <c r="Q106" i="1"/>
  <c r="B106" i="1"/>
  <c r="Y106" i="1"/>
  <c r="AB115" i="1"/>
  <c r="AD115" i="1" s="1"/>
  <c r="AA115" i="1"/>
  <c r="Z106" i="1"/>
  <c r="X105" i="1"/>
  <c r="W105" i="1"/>
  <c r="M105" i="1"/>
  <c r="I105" i="1"/>
  <c r="H105" i="1"/>
  <c r="T105" i="1"/>
  <c r="O104" i="1" l="1"/>
  <c r="S104" i="1"/>
  <c r="D104" i="1" s="1"/>
  <c r="A104" i="1" s="1"/>
  <c r="E104" i="1"/>
  <c r="X106" i="1"/>
  <c r="W106" i="1"/>
  <c r="M106" i="1"/>
  <c r="I106" i="1"/>
  <c r="J106" i="1" s="1"/>
  <c r="L106" i="1" s="1"/>
  <c r="H106" i="1"/>
  <c r="T106" i="1"/>
  <c r="J105" i="1"/>
  <c r="L105" i="1" s="1"/>
  <c r="N105" i="1" s="1"/>
  <c r="C108" i="1"/>
  <c r="R109" i="1"/>
  <c r="AC115" i="1"/>
  <c r="AE115" i="1" s="1"/>
  <c r="Q107" i="1"/>
  <c r="B107" i="1"/>
  <c r="Y107" i="1"/>
  <c r="AB116" i="1"/>
  <c r="AD116" i="1" s="1"/>
  <c r="AA116" i="1"/>
  <c r="Z107" i="1"/>
  <c r="V105" i="1"/>
  <c r="U105" i="1"/>
  <c r="N106" i="1" l="1"/>
  <c r="P106" i="1" s="1"/>
  <c r="AC116" i="1"/>
  <c r="AE116" i="1" s="1"/>
  <c r="V107" i="1" s="1"/>
  <c r="S105" i="1"/>
  <c r="D105" i="1" s="1"/>
  <c r="A105" i="1" s="1"/>
  <c r="O105" i="1"/>
  <c r="P105" i="1"/>
  <c r="E105" i="1" s="1"/>
  <c r="B108" i="1"/>
  <c r="Q108" i="1"/>
  <c r="Y108" i="1"/>
  <c r="AB117" i="1"/>
  <c r="AD117" i="1" s="1"/>
  <c r="Z108" i="1"/>
  <c r="AA117" i="1"/>
  <c r="W107" i="1"/>
  <c r="X107" i="1"/>
  <c r="M107" i="1"/>
  <c r="I107" i="1"/>
  <c r="H107" i="1"/>
  <c r="J107" i="1" s="1"/>
  <c r="L107" i="1" s="1"/>
  <c r="T107" i="1"/>
  <c r="U106" i="1"/>
  <c r="V106" i="1"/>
  <c r="R110" i="1"/>
  <c r="C109" i="1"/>
  <c r="S106" i="1" l="1"/>
  <c r="D106" i="1" s="1"/>
  <c r="A106" i="1" s="1"/>
  <c r="O106" i="1"/>
  <c r="N107" i="1"/>
  <c r="S107" i="1" s="1"/>
  <c r="AC117" i="1"/>
  <c r="AE117" i="1" s="1"/>
  <c r="V108" i="1" s="1"/>
  <c r="U107" i="1"/>
  <c r="E106" i="1"/>
  <c r="W108" i="1"/>
  <c r="X108" i="1"/>
  <c r="M108" i="1"/>
  <c r="I108" i="1"/>
  <c r="H108" i="1"/>
  <c r="J108" i="1" s="1"/>
  <c r="L108" i="1" s="1"/>
  <c r="T108" i="1"/>
  <c r="B109" i="1"/>
  <c r="Q109" i="1"/>
  <c r="Y109" i="1"/>
  <c r="AB118" i="1"/>
  <c r="AD118" i="1" s="1"/>
  <c r="Z109" i="1"/>
  <c r="AA118" i="1"/>
  <c r="R111" i="1"/>
  <c r="C110" i="1"/>
  <c r="P107" i="1" l="1"/>
  <c r="E107" i="1" s="1"/>
  <c r="O107" i="1"/>
  <c r="N108" i="1"/>
  <c r="O108" i="1" s="1"/>
  <c r="U108" i="1"/>
  <c r="D107" i="1"/>
  <c r="A107" i="1" s="1"/>
  <c r="AC118" i="1"/>
  <c r="AE118" i="1" s="1"/>
  <c r="B110" i="1"/>
  <c r="Q110" i="1"/>
  <c r="Y110" i="1"/>
  <c r="AB119" i="1"/>
  <c r="AD119" i="1" s="1"/>
  <c r="AA119" i="1"/>
  <c r="Z110" i="1"/>
  <c r="X109" i="1"/>
  <c r="W109" i="1"/>
  <c r="M109" i="1"/>
  <c r="I109" i="1"/>
  <c r="H109" i="1"/>
  <c r="J109" i="1" s="1"/>
  <c r="L109" i="1" s="1"/>
  <c r="T109" i="1"/>
  <c r="R112" i="1"/>
  <c r="C111" i="1"/>
  <c r="P108" i="1" l="1"/>
  <c r="E108" i="1" s="1"/>
  <c r="S108" i="1"/>
  <c r="D108" i="1" s="1"/>
  <c r="A108" i="1" s="1"/>
  <c r="N109" i="1"/>
  <c r="S109" i="1" s="1"/>
  <c r="X110" i="1"/>
  <c r="W110" i="1"/>
  <c r="M110" i="1"/>
  <c r="I110" i="1"/>
  <c r="H110" i="1"/>
  <c r="J110" i="1" s="1"/>
  <c r="L110" i="1" s="1"/>
  <c r="T110" i="1"/>
  <c r="R113" i="1"/>
  <c r="C112" i="1"/>
  <c r="B111" i="1"/>
  <c r="Q111" i="1"/>
  <c r="Y111" i="1"/>
  <c r="AB120" i="1"/>
  <c r="AD120" i="1" s="1"/>
  <c r="AA120" i="1"/>
  <c r="Z111" i="1"/>
  <c r="AC119" i="1"/>
  <c r="AE119" i="1" s="1"/>
  <c r="U109" i="1"/>
  <c r="V109" i="1"/>
  <c r="O109" i="1" l="1"/>
  <c r="P109" i="1"/>
  <c r="N110" i="1"/>
  <c r="P110" i="1" s="1"/>
  <c r="D109" i="1"/>
  <c r="A109" i="1" s="1"/>
  <c r="X111" i="1"/>
  <c r="W111" i="1"/>
  <c r="M111" i="1"/>
  <c r="I111" i="1"/>
  <c r="H111" i="1"/>
  <c r="J111" i="1" s="1"/>
  <c r="L111" i="1" s="1"/>
  <c r="T111" i="1"/>
  <c r="B112" i="1"/>
  <c r="Q112" i="1"/>
  <c r="Y112" i="1"/>
  <c r="AB121" i="1"/>
  <c r="AD121" i="1" s="1"/>
  <c r="AA121" i="1"/>
  <c r="Z112" i="1"/>
  <c r="U110" i="1"/>
  <c r="V110" i="1"/>
  <c r="R114" i="1"/>
  <c r="C113" i="1"/>
  <c r="E109" i="1"/>
  <c r="AC120" i="1"/>
  <c r="AE120" i="1" s="1"/>
  <c r="O110" i="1" l="1"/>
  <c r="S110" i="1"/>
  <c r="D110" i="1" s="1"/>
  <c r="A110" i="1" s="1"/>
  <c r="N111" i="1"/>
  <c r="S111" i="1" s="1"/>
  <c r="E110" i="1"/>
  <c r="AC121" i="1"/>
  <c r="AE121" i="1" s="1"/>
  <c r="U112" i="1" s="1"/>
  <c r="U111" i="1"/>
  <c r="V111" i="1"/>
  <c r="W112" i="1"/>
  <c r="X112" i="1"/>
  <c r="Q113" i="1"/>
  <c r="B113" i="1"/>
  <c r="Y113" i="1"/>
  <c r="AB122" i="1"/>
  <c r="AD122" i="1" s="1"/>
  <c r="AA122" i="1"/>
  <c r="Z113" i="1"/>
  <c r="M112" i="1"/>
  <c r="I112" i="1"/>
  <c r="H112" i="1"/>
  <c r="J112" i="1" s="1"/>
  <c r="L112" i="1" s="1"/>
  <c r="T112" i="1"/>
  <c r="R115" i="1"/>
  <c r="C114" i="1"/>
  <c r="O111" i="1" l="1"/>
  <c r="P111" i="1"/>
  <c r="N112" i="1"/>
  <c r="O112" i="1" s="1"/>
  <c r="E111" i="1"/>
  <c r="D111" i="1"/>
  <c r="A111" i="1" s="1"/>
  <c r="V112" i="1"/>
  <c r="X113" i="1"/>
  <c r="W113" i="1"/>
  <c r="Q114" i="1"/>
  <c r="B114" i="1"/>
  <c r="Y114" i="1"/>
  <c r="AB123" i="1"/>
  <c r="AD123" i="1" s="1"/>
  <c r="Z114" i="1"/>
  <c r="AA123" i="1"/>
  <c r="M113" i="1"/>
  <c r="H113" i="1"/>
  <c r="J113" i="1" s="1"/>
  <c r="L113" i="1" s="1"/>
  <c r="I113" i="1"/>
  <c r="T113" i="1"/>
  <c r="AC122" i="1"/>
  <c r="AE122" i="1" s="1"/>
  <c r="R116" i="1"/>
  <c r="C115" i="1"/>
  <c r="P112" i="1" l="1"/>
  <c r="S112" i="1"/>
  <c r="D112" i="1" s="1"/>
  <c r="A112" i="1" s="1"/>
  <c r="N113" i="1"/>
  <c r="S113" i="1" s="1"/>
  <c r="E112" i="1"/>
  <c r="W114" i="1"/>
  <c r="X114" i="1"/>
  <c r="M114" i="1"/>
  <c r="I114" i="1"/>
  <c r="H114" i="1"/>
  <c r="J114" i="1" s="1"/>
  <c r="L114" i="1" s="1"/>
  <c r="T114" i="1"/>
  <c r="B115" i="1"/>
  <c r="Q115" i="1"/>
  <c r="Y115" i="1"/>
  <c r="AB124" i="1"/>
  <c r="AD124" i="1" s="1"/>
  <c r="AA124" i="1"/>
  <c r="Z115" i="1"/>
  <c r="C116" i="1"/>
  <c r="R117" i="1"/>
  <c r="U113" i="1"/>
  <c r="V113" i="1"/>
  <c r="AC123" i="1"/>
  <c r="AE123" i="1" s="1"/>
  <c r="P113" i="1" l="1"/>
  <c r="O113" i="1"/>
  <c r="N114" i="1"/>
  <c r="S114" i="1" s="1"/>
  <c r="AC124" i="1"/>
  <c r="AE124" i="1" s="1"/>
  <c r="X115" i="1"/>
  <c r="W115" i="1"/>
  <c r="V114" i="1"/>
  <c r="U114" i="1"/>
  <c r="E113" i="1"/>
  <c r="M115" i="1"/>
  <c r="H115" i="1"/>
  <c r="J115" i="1" s="1"/>
  <c r="L115" i="1" s="1"/>
  <c r="I115" i="1"/>
  <c r="T115" i="1"/>
  <c r="D113" i="1"/>
  <c r="A113" i="1" s="1"/>
  <c r="Q116" i="1"/>
  <c r="B116" i="1"/>
  <c r="Y116" i="1"/>
  <c r="AB125" i="1"/>
  <c r="AD125" i="1" s="1"/>
  <c r="Z116" i="1"/>
  <c r="AA125" i="1"/>
  <c r="C117" i="1"/>
  <c r="R118" i="1"/>
  <c r="P114" i="1" l="1"/>
  <c r="E114" i="1" s="1"/>
  <c r="N115" i="1"/>
  <c r="O115" i="1" s="1"/>
  <c r="O114" i="1"/>
  <c r="D114" i="1"/>
  <c r="A114" i="1" s="1"/>
  <c r="AC125" i="1"/>
  <c r="AE125" i="1" s="1"/>
  <c r="U116" i="1" s="1"/>
  <c r="C118" i="1"/>
  <c r="R119" i="1"/>
  <c r="W116" i="1"/>
  <c r="X116" i="1"/>
  <c r="M116" i="1"/>
  <c r="I116" i="1"/>
  <c r="H116" i="1"/>
  <c r="T116" i="1"/>
  <c r="B117" i="1"/>
  <c r="Q117" i="1"/>
  <c r="Y117" i="1"/>
  <c r="AB126" i="1"/>
  <c r="AD126" i="1" s="1"/>
  <c r="AA126" i="1"/>
  <c r="Z117" i="1"/>
  <c r="V115" i="1"/>
  <c r="U115" i="1"/>
  <c r="S115" i="1" l="1"/>
  <c r="P115" i="1"/>
  <c r="E115" i="1" s="1"/>
  <c r="AC126" i="1"/>
  <c r="AE126" i="1" s="1"/>
  <c r="U117" i="1" s="1"/>
  <c r="V116" i="1"/>
  <c r="W117" i="1"/>
  <c r="X117" i="1"/>
  <c r="M117" i="1"/>
  <c r="H117" i="1"/>
  <c r="J117" i="1" s="1"/>
  <c r="L117" i="1" s="1"/>
  <c r="I117" i="1"/>
  <c r="T117" i="1"/>
  <c r="C119" i="1"/>
  <c r="R120" i="1"/>
  <c r="D115" i="1"/>
  <c r="A115" i="1" s="1"/>
  <c r="B118" i="1"/>
  <c r="Q118" i="1"/>
  <c r="Y118" i="1"/>
  <c r="AB127" i="1"/>
  <c r="AD127" i="1" s="1"/>
  <c r="AA127" i="1"/>
  <c r="Z118" i="1"/>
  <c r="J116" i="1"/>
  <c r="L116" i="1" s="1"/>
  <c r="N116" i="1" s="1"/>
  <c r="N117" i="1" l="1"/>
  <c r="P117" i="1" s="1"/>
  <c r="V117" i="1"/>
  <c r="W118" i="1"/>
  <c r="X118" i="1"/>
  <c r="C120" i="1"/>
  <c r="R121" i="1"/>
  <c r="O117" i="1"/>
  <c r="B119" i="1"/>
  <c r="Q119" i="1"/>
  <c r="Y119" i="1"/>
  <c r="AB128" i="1"/>
  <c r="AD128" i="1" s="1"/>
  <c r="AA128" i="1"/>
  <c r="Z119" i="1"/>
  <c r="M118" i="1"/>
  <c r="H118" i="1"/>
  <c r="I118" i="1"/>
  <c r="J118" i="1" s="1"/>
  <c r="L118" i="1" s="1"/>
  <c r="T118" i="1"/>
  <c r="P116" i="1"/>
  <c r="E116" i="1" s="1"/>
  <c r="S116" i="1"/>
  <c r="D116" i="1" s="1"/>
  <c r="A116" i="1" s="1"/>
  <c r="O116" i="1"/>
  <c r="AC127" i="1"/>
  <c r="AE127" i="1" s="1"/>
  <c r="S117" i="1" l="1"/>
  <c r="D117" i="1" s="1"/>
  <c r="A117" i="1" s="1"/>
  <c r="N118" i="1"/>
  <c r="P118" i="1" s="1"/>
  <c r="E117" i="1"/>
  <c r="AC128" i="1"/>
  <c r="AE128" i="1" s="1"/>
  <c r="U119" i="1" s="1"/>
  <c r="V118" i="1"/>
  <c r="U118" i="1"/>
  <c r="C121" i="1"/>
  <c r="R122" i="1"/>
  <c r="Q120" i="1"/>
  <c r="B120" i="1"/>
  <c r="Y120" i="1"/>
  <c r="AB129" i="1"/>
  <c r="AD129" i="1" s="1"/>
  <c r="Z120" i="1"/>
  <c r="AA129" i="1"/>
  <c r="X119" i="1"/>
  <c r="W119" i="1"/>
  <c r="M119" i="1"/>
  <c r="H119" i="1"/>
  <c r="I119" i="1"/>
  <c r="T119" i="1"/>
  <c r="E118" i="1" l="1"/>
  <c r="S118" i="1"/>
  <c r="D118" i="1" s="1"/>
  <c r="A118" i="1" s="1"/>
  <c r="O118" i="1"/>
  <c r="V119" i="1"/>
  <c r="Q121" i="1"/>
  <c r="B121" i="1"/>
  <c r="Y121" i="1"/>
  <c r="AB130" i="1"/>
  <c r="AD130" i="1" s="1"/>
  <c r="Z121" i="1"/>
  <c r="AA130" i="1"/>
  <c r="AC129" i="1"/>
  <c r="AE129" i="1" s="1"/>
  <c r="W120" i="1"/>
  <c r="X120" i="1"/>
  <c r="J119" i="1"/>
  <c r="L119" i="1" s="1"/>
  <c r="N119" i="1" s="1"/>
  <c r="M120" i="1"/>
  <c r="H120" i="1"/>
  <c r="I120" i="1"/>
  <c r="T120" i="1"/>
  <c r="R123" i="1"/>
  <c r="C122" i="1"/>
  <c r="U120" i="1" l="1"/>
  <c r="V120" i="1"/>
  <c r="AC130" i="1"/>
  <c r="AE130" i="1" s="1"/>
  <c r="P119" i="1"/>
  <c r="E119" i="1" s="1"/>
  <c r="S119" i="1"/>
  <c r="D119" i="1" s="1"/>
  <c r="A119" i="1" s="1"/>
  <c r="O119" i="1"/>
  <c r="W121" i="1"/>
  <c r="X121" i="1"/>
  <c r="B122" i="1"/>
  <c r="Q122" i="1"/>
  <c r="Y122" i="1"/>
  <c r="AB131" i="1"/>
  <c r="AD131" i="1" s="1"/>
  <c r="Z122" i="1"/>
  <c r="AA131" i="1"/>
  <c r="J120" i="1"/>
  <c r="L120" i="1" s="1"/>
  <c r="N120" i="1" s="1"/>
  <c r="C123" i="1"/>
  <c r="R124" i="1"/>
  <c r="M121" i="1"/>
  <c r="H121" i="1"/>
  <c r="I121" i="1"/>
  <c r="T121" i="1"/>
  <c r="O120" i="1" l="1"/>
  <c r="P120" i="1"/>
  <c r="E120" i="1" s="1"/>
  <c r="S120" i="1"/>
  <c r="D120" i="1" s="1"/>
  <c r="A120" i="1" s="1"/>
  <c r="AC131" i="1"/>
  <c r="AE131" i="1" s="1"/>
  <c r="V121" i="1"/>
  <c r="U121" i="1"/>
  <c r="B123" i="1"/>
  <c r="Q123" i="1"/>
  <c r="Y123" i="1"/>
  <c r="AB132" i="1"/>
  <c r="AD132" i="1" s="1"/>
  <c r="AA132" i="1"/>
  <c r="Z123" i="1"/>
  <c r="X122" i="1"/>
  <c r="W122" i="1"/>
  <c r="J121" i="1"/>
  <c r="L121" i="1" s="1"/>
  <c r="N121" i="1" s="1"/>
  <c r="M122" i="1"/>
  <c r="H122" i="1"/>
  <c r="J122" i="1" s="1"/>
  <c r="L122" i="1" s="1"/>
  <c r="I122" i="1"/>
  <c r="T122" i="1"/>
  <c r="C124" i="1"/>
  <c r="R125" i="1"/>
  <c r="N122" i="1" l="1"/>
  <c r="O122" i="1" s="1"/>
  <c r="AC132" i="1"/>
  <c r="AE132" i="1" s="1"/>
  <c r="U123" i="1" s="1"/>
  <c r="S121" i="1"/>
  <c r="D121" i="1" s="1"/>
  <c r="A121" i="1" s="1"/>
  <c r="O121" i="1"/>
  <c r="P121" i="1"/>
  <c r="M123" i="1"/>
  <c r="H123" i="1"/>
  <c r="I123" i="1"/>
  <c r="T123" i="1"/>
  <c r="R126" i="1"/>
  <c r="C125" i="1"/>
  <c r="Q124" i="1"/>
  <c r="B124" i="1"/>
  <c r="Y124" i="1"/>
  <c r="AB133" i="1"/>
  <c r="AD133" i="1" s="1"/>
  <c r="AA133" i="1"/>
  <c r="Z124" i="1"/>
  <c r="E121" i="1"/>
  <c r="V122" i="1"/>
  <c r="U122" i="1"/>
  <c r="X123" i="1"/>
  <c r="W123" i="1"/>
  <c r="P122" i="1" l="1"/>
  <c r="S122" i="1"/>
  <c r="V123" i="1"/>
  <c r="X124" i="1"/>
  <c r="W124" i="1"/>
  <c r="J123" i="1"/>
  <c r="L123" i="1" s="1"/>
  <c r="N123" i="1" s="1"/>
  <c r="D122" i="1"/>
  <c r="A122" i="1" s="1"/>
  <c r="M124" i="1"/>
  <c r="H124" i="1"/>
  <c r="I124" i="1"/>
  <c r="T124" i="1"/>
  <c r="E122" i="1"/>
  <c r="Q125" i="1"/>
  <c r="B125" i="1"/>
  <c r="Y125" i="1"/>
  <c r="AB134" i="1"/>
  <c r="AD134" i="1" s="1"/>
  <c r="AA134" i="1"/>
  <c r="Z125" i="1"/>
  <c r="AC133" i="1"/>
  <c r="AE133" i="1" s="1"/>
  <c r="R127" i="1"/>
  <c r="C126" i="1"/>
  <c r="AC134" i="1" l="1"/>
  <c r="AE134" i="1" s="1"/>
  <c r="V125" i="1" s="1"/>
  <c r="J124" i="1"/>
  <c r="L124" i="1" s="1"/>
  <c r="N124" i="1" s="1"/>
  <c r="X125" i="1"/>
  <c r="W125" i="1"/>
  <c r="P123" i="1"/>
  <c r="E123" i="1" s="1"/>
  <c r="S123" i="1"/>
  <c r="D123" i="1" s="1"/>
  <c r="A123" i="1" s="1"/>
  <c r="O123" i="1"/>
  <c r="B126" i="1"/>
  <c r="Q126" i="1"/>
  <c r="Y126" i="1"/>
  <c r="AB135" i="1"/>
  <c r="AD135" i="1" s="1"/>
  <c r="AA135" i="1"/>
  <c r="Z126" i="1"/>
  <c r="M125" i="1"/>
  <c r="H125" i="1"/>
  <c r="J125" i="1" s="1"/>
  <c r="L125" i="1" s="1"/>
  <c r="I125" i="1"/>
  <c r="T125" i="1"/>
  <c r="R128" i="1"/>
  <c r="C127" i="1"/>
  <c r="V124" i="1"/>
  <c r="U124" i="1"/>
  <c r="N125" i="1" l="1"/>
  <c r="P125" i="1" s="1"/>
  <c r="E125" i="1" s="1"/>
  <c r="U125" i="1"/>
  <c r="AC135" i="1"/>
  <c r="AE135" i="1" s="1"/>
  <c r="O124" i="1"/>
  <c r="S124" i="1"/>
  <c r="D124" i="1" s="1"/>
  <c r="A124" i="1" s="1"/>
  <c r="P124" i="1"/>
  <c r="E124" i="1" s="1"/>
  <c r="X126" i="1"/>
  <c r="W126" i="1"/>
  <c r="M126" i="1"/>
  <c r="H126" i="1"/>
  <c r="J126" i="1" s="1"/>
  <c r="L126" i="1" s="1"/>
  <c r="I126" i="1"/>
  <c r="T126" i="1"/>
  <c r="B127" i="1"/>
  <c r="Q127" i="1"/>
  <c r="Y127" i="1"/>
  <c r="AB136" i="1"/>
  <c r="AD136" i="1" s="1"/>
  <c r="Z127" i="1"/>
  <c r="AA136" i="1"/>
  <c r="C128" i="1"/>
  <c r="R129" i="1"/>
  <c r="N126" i="1" l="1"/>
  <c r="S126" i="1" s="1"/>
  <c r="O125" i="1"/>
  <c r="S125" i="1"/>
  <c r="D125" i="1" s="1"/>
  <c r="A125" i="1" s="1"/>
  <c r="AC136" i="1"/>
  <c r="AE136" i="1" s="1"/>
  <c r="V127" i="1" s="1"/>
  <c r="C129" i="1"/>
  <c r="R130" i="1"/>
  <c r="B128" i="1"/>
  <c r="Q128" i="1"/>
  <c r="Y128" i="1"/>
  <c r="AB137" i="1"/>
  <c r="AD137" i="1" s="1"/>
  <c r="AA137" i="1"/>
  <c r="Z128" i="1"/>
  <c r="V126" i="1"/>
  <c r="U126" i="1"/>
  <c r="X127" i="1"/>
  <c r="W127" i="1"/>
  <c r="M127" i="1"/>
  <c r="H127" i="1"/>
  <c r="I127" i="1"/>
  <c r="T127" i="1"/>
  <c r="O126" i="1" l="1"/>
  <c r="P126" i="1"/>
  <c r="U127" i="1"/>
  <c r="AC137" i="1"/>
  <c r="AE137" i="1" s="1"/>
  <c r="X128" i="1"/>
  <c r="W128" i="1"/>
  <c r="D126" i="1"/>
  <c r="A126" i="1" s="1"/>
  <c r="M128" i="1"/>
  <c r="I128" i="1"/>
  <c r="H128" i="1"/>
  <c r="J128" i="1" s="1"/>
  <c r="L128" i="1" s="1"/>
  <c r="T128" i="1"/>
  <c r="E126" i="1"/>
  <c r="R131" i="1"/>
  <c r="C130" i="1"/>
  <c r="J127" i="1"/>
  <c r="L127" i="1" s="1"/>
  <c r="N127" i="1" s="1"/>
  <c r="Q129" i="1"/>
  <c r="B129" i="1"/>
  <c r="Y129" i="1"/>
  <c r="AB138" i="1"/>
  <c r="AD138" i="1" s="1"/>
  <c r="AA138" i="1"/>
  <c r="Z129" i="1"/>
  <c r="N128" i="1" l="1"/>
  <c r="P128" i="1" s="1"/>
  <c r="X129" i="1"/>
  <c r="W129" i="1"/>
  <c r="I129" i="1"/>
  <c r="M129" i="1"/>
  <c r="H129" i="1"/>
  <c r="J129" i="1" s="1"/>
  <c r="L129" i="1" s="1"/>
  <c r="T129" i="1"/>
  <c r="S127" i="1"/>
  <c r="D127" i="1" s="1"/>
  <c r="A127" i="1" s="1"/>
  <c r="O127" i="1"/>
  <c r="P127" i="1"/>
  <c r="E127" i="1" s="1"/>
  <c r="AC138" i="1"/>
  <c r="AE138" i="1" s="1"/>
  <c r="Q130" i="1"/>
  <c r="B130" i="1"/>
  <c r="Y130" i="1"/>
  <c r="AB139" i="1"/>
  <c r="AD139" i="1" s="1"/>
  <c r="Z130" i="1"/>
  <c r="AA139" i="1"/>
  <c r="C131" i="1"/>
  <c r="R132" i="1"/>
  <c r="V128" i="1"/>
  <c r="U128" i="1"/>
  <c r="E128" i="1" l="1"/>
  <c r="S128" i="1"/>
  <c r="O128" i="1"/>
  <c r="N129" i="1"/>
  <c r="O129" i="1" s="1"/>
  <c r="D128" i="1"/>
  <c r="A128" i="1" s="1"/>
  <c r="V129" i="1"/>
  <c r="U129" i="1"/>
  <c r="M130" i="1"/>
  <c r="I130" i="1"/>
  <c r="H130" i="1"/>
  <c r="J130" i="1" s="1"/>
  <c r="L130" i="1" s="1"/>
  <c r="T130" i="1"/>
  <c r="R133" i="1"/>
  <c r="C132" i="1"/>
  <c r="Q131" i="1"/>
  <c r="B131" i="1"/>
  <c r="Y131" i="1"/>
  <c r="AB140" i="1"/>
  <c r="AD140" i="1" s="1"/>
  <c r="Z131" i="1"/>
  <c r="AA140" i="1"/>
  <c r="X130" i="1"/>
  <c r="W130" i="1"/>
  <c r="AC139" i="1"/>
  <c r="AE139" i="1" s="1"/>
  <c r="P129" i="1" l="1"/>
  <c r="N130" i="1"/>
  <c r="S130" i="1" s="1"/>
  <c r="S129" i="1"/>
  <c r="AC140" i="1"/>
  <c r="AE140" i="1" s="1"/>
  <c r="U131" i="1" s="1"/>
  <c r="X131" i="1"/>
  <c r="W131" i="1"/>
  <c r="U130" i="1"/>
  <c r="V130" i="1"/>
  <c r="M131" i="1"/>
  <c r="I131" i="1"/>
  <c r="H131" i="1"/>
  <c r="J131" i="1" s="1"/>
  <c r="L131" i="1" s="1"/>
  <c r="T131" i="1"/>
  <c r="B132" i="1"/>
  <c r="Q132" i="1"/>
  <c r="Y132" i="1"/>
  <c r="AB141" i="1"/>
  <c r="AD141" i="1" s="1"/>
  <c r="Z132" i="1"/>
  <c r="AA141" i="1"/>
  <c r="R134" i="1"/>
  <c r="C133" i="1"/>
  <c r="D129" i="1"/>
  <c r="A129" i="1" s="1"/>
  <c r="E129" i="1"/>
  <c r="P130" i="1" l="1"/>
  <c r="N131" i="1"/>
  <c r="S131" i="1" s="1"/>
  <c r="D131" i="1" s="1"/>
  <c r="A131" i="1" s="1"/>
  <c r="O130" i="1"/>
  <c r="E130" i="1"/>
  <c r="D130" i="1"/>
  <c r="A130" i="1" s="1"/>
  <c r="V131" i="1"/>
  <c r="M132" i="1"/>
  <c r="I132" i="1"/>
  <c r="H132" i="1"/>
  <c r="J132" i="1" s="1"/>
  <c r="L132" i="1" s="1"/>
  <c r="T132" i="1"/>
  <c r="W132" i="1"/>
  <c r="X132" i="1"/>
  <c r="B133" i="1"/>
  <c r="Q133" i="1"/>
  <c r="Y133" i="1"/>
  <c r="AB142" i="1"/>
  <c r="AD142" i="1" s="1"/>
  <c r="Z133" i="1"/>
  <c r="AA142" i="1"/>
  <c r="C134" i="1"/>
  <c r="R135" i="1"/>
  <c r="AC141" i="1"/>
  <c r="AE141" i="1" s="1"/>
  <c r="P131" i="1" l="1"/>
  <c r="O131" i="1"/>
  <c r="N132" i="1"/>
  <c r="P132" i="1" s="1"/>
  <c r="E131" i="1"/>
  <c r="AC142" i="1"/>
  <c r="AE142" i="1" s="1"/>
  <c r="V133" i="1" s="1"/>
  <c r="W133" i="1"/>
  <c r="X133" i="1"/>
  <c r="M133" i="1"/>
  <c r="I133" i="1"/>
  <c r="H133" i="1"/>
  <c r="J133" i="1" s="1"/>
  <c r="L133" i="1" s="1"/>
  <c r="T133" i="1"/>
  <c r="U132" i="1"/>
  <c r="V132" i="1"/>
  <c r="B134" i="1"/>
  <c r="Q134" i="1"/>
  <c r="Y134" i="1"/>
  <c r="AB143" i="1"/>
  <c r="AD143" i="1" s="1"/>
  <c r="AA143" i="1"/>
  <c r="Z134" i="1"/>
  <c r="R136" i="1"/>
  <c r="C135" i="1"/>
  <c r="O132" i="1" l="1"/>
  <c r="S132" i="1"/>
  <c r="N133" i="1"/>
  <c r="S133" i="1" s="1"/>
  <c r="AC143" i="1"/>
  <c r="AE143" i="1" s="1"/>
  <c r="V134" i="1" s="1"/>
  <c r="U133" i="1"/>
  <c r="X134" i="1"/>
  <c r="W134" i="1"/>
  <c r="M134" i="1"/>
  <c r="I134" i="1"/>
  <c r="H134" i="1"/>
  <c r="J134" i="1" s="1"/>
  <c r="L134" i="1" s="1"/>
  <c r="T134" i="1"/>
  <c r="Q135" i="1"/>
  <c r="B135" i="1"/>
  <c r="Y135" i="1"/>
  <c r="AB144" i="1"/>
  <c r="AD144" i="1" s="1"/>
  <c r="Z135" i="1"/>
  <c r="AA144" i="1"/>
  <c r="C136" i="1"/>
  <c r="R137" i="1"/>
  <c r="E132" i="1"/>
  <c r="D132" i="1"/>
  <c r="A132" i="1" s="1"/>
  <c r="P133" i="1" l="1"/>
  <c r="E133" i="1" s="1"/>
  <c r="O133" i="1"/>
  <c r="N134" i="1"/>
  <c r="P134" i="1" s="1"/>
  <c r="E134" i="1" s="1"/>
  <c r="D133" i="1"/>
  <c r="A133" i="1" s="1"/>
  <c r="U134" i="1"/>
  <c r="Q136" i="1"/>
  <c r="B136" i="1"/>
  <c r="Y136" i="1"/>
  <c r="AB145" i="1"/>
  <c r="AD145" i="1" s="1"/>
  <c r="AA145" i="1"/>
  <c r="Z136" i="1"/>
  <c r="W135" i="1"/>
  <c r="X135" i="1"/>
  <c r="AC144" i="1"/>
  <c r="AE144" i="1" s="1"/>
  <c r="M135" i="1"/>
  <c r="I135" i="1"/>
  <c r="H135" i="1"/>
  <c r="T135" i="1"/>
  <c r="R138" i="1"/>
  <c r="C137" i="1"/>
  <c r="O134" i="1" l="1"/>
  <c r="S134" i="1"/>
  <c r="D134" i="1" s="1"/>
  <c r="A134" i="1" s="1"/>
  <c r="X136" i="1"/>
  <c r="W136" i="1"/>
  <c r="V135" i="1"/>
  <c r="U135" i="1"/>
  <c r="B137" i="1"/>
  <c r="Q137" i="1"/>
  <c r="Y137" i="1"/>
  <c r="AB146" i="1"/>
  <c r="AD146" i="1" s="1"/>
  <c r="AA146" i="1"/>
  <c r="Z137" i="1"/>
  <c r="M136" i="1"/>
  <c r="H136" i="1"/>
  <c r="J136" i="1" s="1"/>
  <c r="L136" i="1" s="1"/>
  <c r="I136" i="1"/>
  <c r="T136" i="1"/>
  <c r="C138" i="1"/>
  <c r="R139" i="1"/>
  <c r="J135" i="1"/>
  <c r="L135" i="1" s="1"/>
  <c r="N135" i="1" s="1"/>
  <c r="AC145" i="1"/>
  <c r="AE145" i="1" s="1"/>
  <c r="N136" i="1" l="1"/>
  <c r="P136" i="1" s="1"/>
  <c r="AC146" i="1"/>
  <c r="AE146" i="1" s="1"/>
  <c r="X137" i="1"/>
  <c r="W137" i="1"/>
  <c r="Q138" i="1"/>
  <c r="B138" i="1"/>
  <c r="Y138" i="1"/>
  <c r="AB147" i="1"/>
  <c r="AD147" i="1" s="1"/>
  <c r="Z138" i="1"/>
  <c r="AA147" i="1"/>
  <c r="I137" i="1"/>
  <c r="M137" i="1"/>
  <c r="H137" i="1"/>
  <c r="J137" i="1" s="1"/>
  <c r="L137" i="1" s="1"/>
  <c r="T137" i="1"/>
  <c r="C139" i="1"/>
  <c r="R140" i="1"/>
  <c r="S136" i="1"/>
  <c r="O136" i="1"/>
  <c r="V136" i="1"/>
  <c r="U136" i="1"/>
  <c r="O135" i="1"/>
  <c r="S135" i="1"/>
  <c r="D135" i="1" s="1"/>
  <c r="A135" i="1" s="1"/>
  <c r="P135" i="1"/>
  <c r="E135" i="1" s="1"/>
  <c r="N137" i="1" l="1"/>
  <c r="P137" i="1" s="1"/>
  <c r="AC147" i="1"/>
  <c r="AE147" i="1" s="1"/>
  <c r="U138" i="1" s="1"/>
  <c r="X138" i="1"/>
  <c r="W138" i="1"/>
  <c r="C140" i="1"/>
  <c r="R141" i="1"/>
  <c r="D136" i="1"/>
  <c r="A136" i="1" s="1"/>
  <c r="S137" i="1"/>
  <c r="O137" i="1"/>
  <c r="M138" i="1"/>
  <c r="H138" i="1"/>
  <c r="I138" i="1"/>
  <c r="T138" i="1"/>
  <c r="U137" i="1"/>
  <c r="V137" i="1"/>
  <c r="B139" i="1"/>
  <c r="Q139" i="1"/>
  <c r="Y139" i="1"/>
  <c r="AB148" i="1"/>
  <c r="AD148" i="1" s="1"/>
  <c r="Z139" i="1"/>
  <c r="AA148" i="1"/>
  <c r="E136" i="1"/>
  <c r="E137" i="1" l="1"/>
  <c r="D137" i="1"/>
  <c r="A137" i="1" s="1"/>
  <c r="V138" i="1"/>
  <c r="C141" i="1"/>
  <c r="R142" i="1"/>
  <c r="J138" i="1"/>
  <c r="L138" i="1" s="1"/>
  <c r="N138" i="1" s="1"/>
  <c r="B140" i="1"/>
  <c r="Q140" i="1"/>
  <c r="Y140" i="1"/>
  <c r="AB149" i="1"/>
  <c r="AD149" i="1" s="1"/>
  <c r="Z140" i="1"/>
  <c r="AA149" i="1"/>
  <c r="AC148" i="1"/>
  <c r="AE148" i="1" s="1"/>
  <c r="X139" i="1"/>
  <c r="W139" i="1"/>
  <c r="M139" i="1"/>
  <c r="I139" i="1"/>
  <c r="H139" i="1"/>
  <c r="J139" i="1" s="1"/>
  <c r="L139" i="1" s="1"/>
  <c r="T139" i="1"/>
  <c r="N139" i="1" l="1"/>
  <c r="S139" i="1" s="1"/>
  <c r="AC149" i="1"/>
  <c r="AE149" i="1" s="1"/>
  <c r="U140" i="1" s="1"/>
  <c r="M140" i="1"/>
  <c r="I140" i="1"/>
  <c r="H140" i="1"/>
  <c r="J140" i="1" s="1"/>
  <c r="L140" i="1" s="1"/>
  <c r="T140" i="1"/>
  <c r="W140" i="1"/>
  <c r="X140" i="1"/>
  <c r="S138" i="1"/>
  <c r="D138" i="1" s="1"/>
  <c r="A138" i="1" s="1"/>
  <c r="O138" i="1"/>
  <c r="P138" i="1"/>
  <c r="E138" i="1" s="1"/>
  <c r="U139" i="1"/>
  <c r="V139" i="1"/>
  <c r="C142" i="1"/>
  <c r="R143" i="1"/>
  <c r="B141" i="1"/>
  <c r="Q141" i="1"/>
  <c r="Y141" i="1"/>
  <c r="AB150" i="1"/>
  <c r="AD150" i="1" s="1"/>
  <c r="Z141" i="1"/>
  <c r="AA150" i="1"/>
  <c r="N140" i="1" l="1"/>
  <c r="O140" i="1" s="1"/>
  <c r="P139" i="1"/>
  <c r="E139" i="1" s="1"/>
  <c r="O139" i="1"/>
  <c r="D139" i="1"/>
  <c r="A139" i="1" s="1"/>
  <c r="V140" i="1"/>
  <c r="W141" i="1"/>
  <c r="X141" i="1"/>
  <c r="AC150" i="1"/>
  <c r="AE150" i="1" s="1"/>
  <c r="M141" i="1"/>
  <c r="I141" i="1"/>
  <c r="H141" i="1"/>
  <c r="T141" i="1"/>
  <c r="C143" i="1"/>
  <c r="R144" i="1"/>
  <c r="Q142" i="1"/>
  <c r="B142" i="1"/>
  <c r="Y142" i="1"/>
  <c r="AB151" i="1"/>
  <c r="AD151" i="1" s="1"/>
  <c r="AA151" i="1"/>
  <c r="Z142" i="1"/>
  <c r="P140" i="1" l="1"/>
  <c r="E140" i="1" s="1"/>
  <c r="S140" i="1"/>
  <c r="D140" i="1" s="1"/>
  <c r="A140" i="1" s="1"/>
  <c r="U141" i="1"/>
  <c r="V141" i="1"/>
  <c r="X142" i="1"/>
  <c r="W142" i="1"/>
  <c r="M142" i="1"/>
  <c r="H142" i="1"/>
  <c r="J142" i="1" s="1"/>
  <c r="L142" i="1" s="1"/>
  <c r="I142" i="1"/>
  <c r="T142" i="1"/>
  <c r="R145" i="1"/>
  <c r="C144" i="1"/>
  <c r="AC151" i="1"/>
  <c r="AE151" i="1" s="1"/>
  <c r="Q143" i="1"/>
  <c r="B143" i="1"/>
  <c r="Y143" i="1"/>
  <c r="AB152" i="1"/>
  <c r="AD152" i="1" s="1"/>
  <c r="AA152" i="1"/>
  <c r="Z143" i="1"/>
  <c r="J141" i="1"/>
  <c r="L141" i="1" s="1"/>
  <c r="N141" i="1" s="1"/>
  <c r="N142" i="1" l="1"/>
  <c r="O142" i="1" s="1"/>
  <c r="W143" i="1"/>
  <c r="X143" i="1"/>
  <c r="M143" i="1"/>
  <c r="I143" i="1"/>
  <c r="H143" i="1"/>
  <c r="J143" i="1" s="1"/>
  <c r="L143" i="1" s="1"/>
  <c r="T143" i="1"/>
  <c r="V142" i="1"/>
  <c r="U142" i="1"/>
  <c r="O141" i="1"/>
  <c r="S141" i="1"/>
  <c r="D141" i="1" s="1"/>
  <c r="A141" i="1" s="1"/>
  <c r="P141" i="1"/>
  <c r="E141" i="1" s="1"/>
  <c r="B144" i="1"/>
  <c r="Q144" i="1"/>
  <c r="Y144" i="1"/>
  <c r="AB153" i="1"/>
  <c r="AD153" i="1" s="1"/>
  <c r="AA153" i="1"/>
  <c r="Z144" i="1"/>
  <c r="AC152" i="1"/>
  <c r="AE152" i="1" s="1"/>
  <c r="C145" i="1"/>
  <c r="R146" i="1"/>
  <c r="S142" i="1" l="1"/>
  <c r="P142" i="1"/>
  <c r="N143" i="1"/>
  <c r="P143" i="1" s="1"/>
  <c r="D142" i="1"/>
  <c r="A142" i="1" s="1"/>
  <c r="E142" i="1"/>
  <c r="U143" i="1"/>
  <c r="V143" i="1"/>
  <c r="R147" i="1"/>
  <c r="C146" i="1"/>
  <c r="M144" i="1"/>
  <c r="I144" i="1"/>
  <c r="H144" i="1"/>
  <c r="J144" i="1" s="1"/>
  <c r="L144" i="1" s="1"/>
  <c r="T144" i="1"/>
  <c r="Q145" i="1"/>
  <c r="B145" i="1"/>
  <c r="Y145" i="1"/>
  <c r="AB154" i="1"/>
  <c r="AD154" i="1" s="1"/>
  <c r="AA154" i="1"/>
  <c r="Z145" i="1"/>
  <c r="AC153" i="1"/>
  <c r="AE153" i="1" s="1"/>
  <c r="W144" i="1"/>
  <c r="X144" i="1"/>
  <c r="N144" i="1" l="1"/>
  <c r="O144" i="1" s="1"/>
  <c r="S143" i="1"/>
  <c r="O143" i="1"/>
  <c r="E143" i="1"/>
  <c r="Q146" i="1"/>
  <c r="B146" i="1"/>
  <c r="Y146" i="1"/>
  <c r="AB155" i="1"/>
  <c r="AD155" i="1" s="1"/>
  <c r="AA155" i="1"/>
  <c r="Z146" i="1"/>
  <c r="W145" i="1"/>
  <c r="X145" i="1"/>
  <c r="C147" i="1"/>
  <c r="R148" i="1"/>
  <c r="V144" i="1"/>
  <c r="U144" i="1"/>
  <c r="M145" i="1"/>
  <c r="H145" i="1"/>
  <c r="J145" i="1" s="1"/>
  <c r="L145" i="1" s="1"/>
  <c r="I145" i="1"/>
  <c r="T145" i="1"/>
  <c r="D143" i="1"/>
  <c r="A143" i="1" s="1"/>
  <c r="AC154" i="1"/>
  <c r="AE154" i="1" s="1"/>
  <c r="N145" i="1" l="1"/>
  <c r="S145" i="1" s="1"/>
  <c r="P144" i="1"/>
  <c r="E144" i="1" s="1"/>
  <c r="S144" i="1"/>
  <c r="D144" i="1" s="1"/>
  <c r="A144" i="1" s="1"/>
  <c r="AC155" i="1"/>
  <c r="AE155" i="1" s="1"/>
  <c r="W146" i="1"/>
  <c r="X146" i="1"/>
  <c r="U145" i="1"/>
  <c r="V145" i="1"/>
  <c r="R149" i="1"/>
  <c r="C148" i="1"/>
  <c r="B147" i="1"/>
  <c r="Q147" i="1"/>
  <c r="Y147" i="1"/>
  <c r="AB156" i="1"/>
  <c r="AD156" i="1" s="1"/>
  <c r="AA156" i="1"/>
  <c r="Z147" i="1"/>
  <c r="M146" i="1"/>
  <c r="I146" i="1"/>
  <c r="H146" i="1"/>
  <c r="T146" i="1"/>
  <c r="P145" i="1" l="1"/>
  <c r="O145" i="1"/>
  <c r="D145" i="1"/>
  <c r="A145" i="1" s="1"/>
  <c r="AC156" i="1"/>
  <c r="AE156" i="1" s="1"/>
  <c r="V147" i="1" s="1"/>
  <c r="E145" i="1"/>
  <c r="X147" i="1"/>
  <c r="W147" i="1"/>
  <c r="M147" i="1"/>
  <c r="H147" i="1"/>
  <c r="I147" i="1"/>
  <c r="J147" i="1" s="1"/>
  <c r="L147" i="1" s="1"/>
  <c r="T147" i="1"/>
  <c r="C149" i="1"/>
  <c r="R150" i="1"/>
  <c r="J146" i="1"/>
  <c r="L146" i="1" s="1"/>
  <c r="N146" i="1" s="1"/>
  <c r="Q148" i="1"/>
  <c r="B148" i="1"/>
  <c r="Y148" i="1"/>
  <c r="AB157" i="1"/>
  <c r="AD157" i="1" s="1"/>
  <c r="Z148" i="1"/>
  <c r="AA157" i="1"/>
  <c r="U146" i="1"/>
  <c r="V146" i="1"/>
  <c r="N147" i="1" l="1"/>
  <c r="P147" i="1" s="1"/>
  <c r="E147" i="1" s="1"/>
  <c r="U147" i="1"/>
  <c r="Q149" i="1"/>
  <c r="B149" i="1"/>
  <c r="Y149" i="1"/>
  <c r="AB158" i="1"/>
  <c r="AD158" i="1" s="1"/>
  <c r="Z149" i="1"/>
  <c r="AA158" i="1"/>
  <c r="X148" i="1"/>
  <c r="W148" i="1"/>
  <c r="AC157" i="1"/>
  <c r="AE157" i="1" s="1"/>
  <c r="M148" i="1"/>
  <c r="I148" i="1"/>
  <c r="H148" i="1"/>
  <c r="T148" i="1"/>
  <c r="R151" i="1"/>
  <c r="C150" i="1"/>
  <c r="O146" i="1"/>
  <c r="S146" i="1"/>
  <c r="D146" i="1" s="1"/>
  <c r="A146" i="1" s="1"/>
  <c r="P146" i="1"/>
  <c r="E146" i="1" s="1"/>
  <c r="S147" i="1" l="1"/>
  <c r="D147" i="1" s="1"/>
  <c r="A147" i="1" s="1"/>
  <c r="O147" i="1"/>
  <c r="J148" i="1"/>
  <c r="L148" i="1" s="1"/>
  <c r="N148" i="1" s="1"/>
  <c r="AC158" i="1"/>
  <c r="AE158" i="1" s="1"/>
  <c r="X149" i="1"/>
  <c r="W149" i="1"/>
  <c r="Q150" i="1"/>
  <c r="B150" i="1"/>
  <c r="Y150" i="1"/>
  <c r="AB159" i="1"/>
  <c r="AD159" i="1" s="1"/>
  <c r="AA159" i="1"/>
  <c r="Z150" i="1"/>
  <c r="U148" i="1"/>
  <c r="V148" i="1"/>
  <c r="R152" i="1"/>
  <c r="C151" i="1"/>
  <c r="M149" i="1"/>
  <c r="I149" i="1"/>
  <c r="H149" i="1"/>
  <c r="J149" i="1" s="1"/>
  <c r="L149" i="1" s="1"/>
  <c r="T149" i="1"/>
  <c r="N149" i="1" l="1"/>
  <c r="O149" i="1" s="1"/>
  <c r="AC159" i="1"/>
  <c r="AE159" i="1" s="1"/>
  <c r="V150" i="1" s="1"/>
  <c r="W150" i="1"/>
  <c r="X150" i="1"/>
  <c r="Q151" i="1"/>
  <c r="B151" i="1"/>
  <c r="Y151" i="1"/>
  <c r="AB160" i="1"/>
  <c r="AD160" i="1" s="1"/>
  <c r="Z151" i="1"/>
  <c r="AA160" i="1"/>
  <c r="R153" i="1"/>
  <c r="C152" i="1"/>
  <c r="M150" i="1"/>
  <c r="I150" i="1"/>
  <c r="H150" i="1"/>
  <c r="J150" i="1" s="1"/>
  <c r="L150" i="1" s="1"/>
  <c r="N150" i="1" s="1"/>
  <c r="T150" i="1"/>
  <c r="V149" i="1"/>
  <c r="U149" i="1"/>
  <c r="S148" i="1"/>
  <c r="D148" i="1" s="1"/>
  <c r="A148" i="1" s="1"/>
  <c r="O148" i="1"/>
  <c r="P148" i="1"/>
  <c r="E148" i="1" s="1"/>
  <c r="S149" i="1" l="1"/>
  <c r="P149" i="1"/>
  <c r="E149" i="1" s="1"/>
  <c r="D149" i="1"/>
  <c r="A149" i="1" s="1"/>
  <c r="U150" i="1"/>
  <c r="P150" i="1"/>
  <c r="E150" i="1" s="1"/>
  <c r="S150" i="1"/>
  <c r="O150" i="1"/>
  <c r="M151" i="1"/>
  <c r="I151" i="1"/>
  <c r="H151" i="1"/>
  <c r="J151" i="1" s="1"/>
  <c r="L151" i="1" s="1"/>
  <c r="T151" i="1"/>
  <c r="W151" i="1"/>
  <c r="X151" i="1"/>
  <c r="B152" i="1"/>
  <c r="Q152" i="1"/>
  <c r="Y152" i="1"/>
  <c r="AB161" i="1"/>
  <c r="AD161" i="1" s="1"/>
  <c r="Z152" i="1"/>
  <c r="AA161" i="1"/>
  <c r="C153" i="1"/>
  <c r="R154" i="1"/>
  <c r="AC160" i="1"/>
  <c r="AE160" i="1" s="1"/>
  <c r="N151" i="1" l="1"/>
  <c r="O151" i="1" s="1"/>
  <c r="D150" i="1"/>
  <c r="A150" i="1" s="1"/>
  <c r="AC161" i="1"/>
  <c r="AE161" i="1" s="1"/>
  <c r="W152" i="1"/>
  <c r="X152" i="1"/>
  <c r="M152" i="1"/>
  <c r="H152" i="1"/>
  <c r="I152" i="1"/>
  <c r="T152" i="1"/>
  <c r="U151" i="1"/>
  <c r="V151" i="1"/>
  <c r="C154" i="1"/>
  <c r="R155" i="1"/>
  <c r="B153" i="1"/>
  <c r="Q153" i="1"/>
  <c r="Y153" i="1"/>
  <c r="AB162" i="1"/>
  <c r="AD162" i="1" s="1"/>
  <c r="Z153" i="1"/>
  <c r="AA162" i="1"/>
  <c r="S151" i="1" l="1"/>
  <c r="D151" i="1" s="1"/>
  <c r="A151" i="1" s="1"/>
  <c r="P151" i="1"/>
  <c r="E151" i="1" s="1"/>
  <c r="X153" i="1"/>
  <c r="W153" i="1"/>
  <c r="M153" i="1"/>
  <c r="I153" i="1"/>
  <c r="H153" i="1"/>
  <c r="J153" i="1" s="1"/>
  <c r="L153" i="1" s="1"/>
  <c r="T153" i="1"/>
  <c r="R156" i="1"/>
  <c r="C155" i="1"/>
  <c r="Q154" i="1"/>
  <c r="B154" i="1"/>
  <c r="Y154" i="1"/>
  <c r="AB163" i="1"/>
  <c r="AD163" i="1" s="1"/>
  <c r="Z154" i="1"/>
  <c r="AA163" i="1"/>
  <c r="U152" i="1"/>
  <c r="V152" i="1"/>
  <c r="AC162" i="1"/>
  <c r="AE162" i="1" s="1"/>
  <c r="J152" i="1"/>
  <c r="L152" i="1" s="1"/>
  <c r="N152" i="1" s="1"/>
  <c r="N153" i="1" l="1"/>
  <c r="S153" i="1" s="1"/>
  <c r="AC163" i="1"/>
  <c r="AE163" i="1" s="1"/>
  <c r="U154" i="1" s="1"/>
  <c r="B155" i="1"/>
  <c r="Q155" i="1"/>
  <c r="Y155" i="1"/>
  <c r="AB164" i="1"/>
  <c r="AD164" i="1" s="1"/>
  <c r="Z155" i="1"/>
  <c r="AA164" i="1"/>
  <c r="C156" i="1"/>
  <c r="R157" i="1"/>
  <c r="W154" i="1"/>
  <c r="X154" i="1"/>
  <c r="S152" i="1"/>
  <c r="D152" i="1" s="1"/>
  <c r="A152" i="1" s="1"/>
  <c r="O152" i="1"/>
  <c r="P152" i="1"/>
  <c r="E152" i="1" s="1"/>
  <c r="V153" i="1"/>
  <c r="U153" i="1"/>
  <c r="M154" i="1"/>
  <c r="I154" i="1"/>
  <c r="H154" i="1"/>
  <c r="T154" i="1"/>
  <c r="P153" i="1" l="1"/>
  <c r="O153" i="1"/>
  <c r="D153" i="1"/>
  <c r="A153" i="1" s="1"/>
  <c r="AC164" i="1"/>
  <c r="AE164" i="1" s="1"/>
  <c r="V154" i="1"/>
  <c r="M155" i="1"/>
  <c r="I155" i="1"/>
  <c r="H155" i="1"/>
  <c r="J155" i="1" s="1"/>
  <c r="L155" i="1" s="1"/>
  <c r="T155" i="1"/>
  <c r="W155" i="1"/>
  <c r="X155" i="1"/>
  <c r="R158" i="1"/>
  <c r="C157" i="1"/>
  <c r="E153" i="1"/>
  <c r="B156" i="1"/>
  <c r="Q156" i="1"/>
  <c r="Y156" i="1"/>
  <c r="AB165" i="1"/>
  <c r="AD165" i="1" s="1"/>
  <c r="Z156" i="1"/>
  <c r="AA165" i="1"/>
  <c r="J154" i="1"/>
  <c r="L154" i="1" s="1"/>
  <c r="N154" i="1" s="1"/>
  <c r="N155" i="1" l="1"/>
  <c r="S155" i="1" s="1"/>
  <c r="AC165" i="1"/>
  <c r="AE165" i="1" s="1"/>
  <c r="U156" i="1" s="1"/>
  <c r="R159" i="1"/>
  <c r="C158" i="1"/>
  <c r="W156" i="1"/>
  <c r="X156" i="1"/>
  <c r="Q157" i="1"/>
  <c r="B157" i="1"/>
  <c r="Y157" i="1"/>
  <c r="AB166" i="1"/>
  <c r="AD166" i="1" s="1"/>
  <c r="AA166" i="1"/>
  <c r="Z157" i="1"/>
  <c r="M156" i="1"/>
  <c r="H156" i="1"/>
  <c r="J156" i="1" s="1"/>
  <c r="L156" i="1" s="1"/>
  <c r="I156" i="1"/>
  <c r="T156" i="1"/>
  <c r="P154" i="1"/>
  <c r="E154" i="1" s="1"/>
  <c r="O154" i="1"/>
  <c r="S154" i="1"/>
  <c r="D154" i="1" s="1"/>
  <c r="A154" i="1" s="1"/>
  <c r="U155" i="1"/>
  <c r="V155" i="1"/>
  <c r="N156" i="1" l="1"/>
  <c r="O156" i="1" s="1"/>
  <c r="O155" i="1"/>
  <c r="P155" i="1"/>
  <c r="E155" i="1" s="1"/>
  <c r="AC166" i="1"/>
  <c r="AE166" i="1" s="1"/>
  <c r="U157" i="1" s="1"/>
  <c r="D155" i="1"/>
  <c r="A155" i="1" s="1"/>
  <c r="V156" i="1"/>
  <c r="W157" i="1"/>
  <c r="X157" i="1"/>
  <c r="M157" i="1"/>
  <c r="I157" i="1"/>
  <c r="H157" i="1"/>
  <c r="T157" i="1"/>
  <c r="B158" i="1"/>
  <c r="Q158" i="1"/>
  <c r="Y158" i="1"/>
  <c r="AB167" i="1"/>
  <c r="AD167" i="1" s="1"/>
  <c r="Z158" i="1"/>
  <c r="AA167" i="1"/>
  <c r="P156" i="1"/>
  <c r="C159" i="1"/>
  <c r="R160" i="1"/>
  <c r="S156" i="1" l="1"/>
  <c r="D156" i="1" s="1"/>
  <c r="A156" i="1" s="1"/>
  <c r="E156" i="1"/>
  <c r="V157" i="1"/>
  <c r="X158" i="1"/>
  <c r="W158" i="1"/>
  <c r="Q159" i="1"/>
  <c r="B159" i="1"/>
  <c r="Y159" i="1"/>
  <c r="AB168" i="1"/>
  <c r="AD168" i="1" s="1"/>
  <c r="AA168" i="1"/>
  <c r="Z159" i="1"/>
  <c r="M158" i="1"/>
  <c r="H158" i="1"/>
  <c r="J158" i="1" s="1"/>
  <c r="L158" i="1" s="1"/>
  <c r="I158" i="1"/>
  <c r="T158" i="1"/>
  <c r="AC167" i="1"/>
  <c r="AE167" i="1" s="1"/>
  <c r="R161" i="1"/>
  <c r="C160" i="1"/>
  <c r="J157" i="1"/>
  <c r="L157" i="1" s="1"/>
  <c r="N157" i="1" s="1"/>
  <c r="N158" i="1" l="1"/>
  <c r="P158" i="1" s="1"/>
  <c r="AC168" i="1"/>
  <c r="AE168" i="1" s="1"/>
  <c r="V159" i="1" s="1"/>
  <c r="B160" i="1"/>
  <c r="Q160" i="1"/>
  <c r="Y160" i="1"/>
  <c r="AB169" i="1"/>
  <c r="AD169" i="1" s="1"/>
  <c r="Z160" i="1"/>
  <c r="AA169" i="1"/>
  <c r="X159" i="1"/>
  <c r="W159" i="1"/>
  <c r="U158" i="1"/>
  <c r="V158" i="1"/>
  <c r="C161" i="1"/>
  <c r="R162" i="1"/>
  <c r="M159" i="1"/>
  <c r="H159" i="1"/>
  <c r="J159" i="1" s="1"/>
  <c r="L159" i="1" s="1"/>
  <c r="I159" i="1"/>
  <c r="T159" i="1"/>
  <c r="P157" i="1"/>
  <c r="E157" i="1" s="1"/>
  <c r="S157" i="1"/>
  <c r="D157" i="1" s="1"/>
  <c r="A157" i="1" s="1"/>
  <c r="O157" i="1"/>
  <c r="N159" i="1" l="1"/>
  <c r="P159" i="1" s="1"/>
  <c r="E159" i="1" s="1"/>
  <c r="O158" i="1"/>
  <c r="S158" i="1"/>
  <c r="D158" i="1" s="1"/>
  <c r="A158" i="1" s="1"/>
  <c r="E158" i="1"/>
  <c r="U159" i="1"/>
  <c r="AC169" i="1"/>
  <c r="AE169" i="1" s="1"/>
  <c r="X160" i="1"/>
  <c r="W160" i="1"/>
  <c r="C162" i="1"/>
  <c r="R163" i="1"/>
  <c r="Q161" i="1"/>
  <c r="B161" i="1"/>
  <c r="Y161" i="1"/>
  <c r="AB170" i="1"/>
  <c r="AD170" i="1" s="1"/>
  <c r="AA170" i="1"/>
  <c r="Z161" i="1"/>
  <c r="M160" i="1"/>
  <c r="H160" i="1"/>
  <c r="I160" i="1"/>
  <c r="T160" i="1"/>
  <c r="O159" i="1"/>
  <c r="S159" i="1"/>
  <c r="D159" i="1" l="1"/>
  <c r="A159" i="1" s="1"/>
  <c r="AC170" i="1"/>
  <c r="AE170" i="1" s="1"/>
  <c r="X161" i="1"/>
  <c r="W161" i="1"/>
  <c r="J160" i="1"/>
  <c r="L160" i="1" s="1"/>
  <c r="N160" i="1" s="1"/>
  <c r="R164" i="1"/>
  <c r="C163" i="1"/>
  <c r="M161" i="1"/>
  <c r="I161" i="1"/>
  <c r="H161" i="1"/>
  <c r="J161" i="1" s="1"/>
  <c r="L161" i="1" s="1"/>
  <c r="T161" i="1"/>
  <c r="B162" i="1"/>
  <c r="Q162" i="1"/>
  <c r="Y162" i="1"/>
  <c r="AB171" i="1"/>
  <c r="AD171" i="1" s="1"/>
  <c r="Z162" i="1"/>
  <c r="AA171" i="1"/>
  <c r="V160" i="1"/>
  <c r="U160" i="1"/>
  <c r="N161" i="1" l="1"/>
  <c r="Q163" i="1"/>
  <c r="B163" i="1"/>
  <c r="Y163" i="1"/>
  <c r="AB172" i="1"/>
  <c r="AD172" i="1" s="1"/>
  <c r="Z163" i="1"/>
  <c r="AA172" i="1"/>
  <c r="X162" i="1"/>
  <c r="W162" i="1"/>
  <c r="C164" i="1"/>
  <c r="R165" i="1"/>
  <c r="O160" i="1"/>
  <c r="P160" i="1"/>
  <c r="E160" i="1" s="1"/>
  <c r="S160" i="1"/>
  <c r="D160" i="1" s="1"/>
  <c r="A160" i="1" s="1"/>
  <c r="U161" i="1"/>
  <c r="V161" i="1"/>
  <c r="AC171" i="1"/>
  <c r="AE171" i="1" s="1"/>
  <c r="M162" i="1"/>
  <c r="I162" i="1"/>
  <c r="H162" i="1"/>
  <c r="J162" i="1" s="1"/>
  <c r="L162" i="1" s="1"/>
  <c r="T162" i="1"/>
  <c r="S161" i="1"/>
  <c r="P161" i="1"/>
  <c r="O161" i="1"/>
  <c r="N162" i="1" l="1"/>
  <c r="P162" i="1" s="1"/>
  <c r="V162" i="1"/>
  <c r="U162" i="1"/>
  <c r="E161" i="1"/>
  <c r="D161" i="1"/>
  <c r="A161" i="1" s="1"/>
  <c r="AC172" i="1"/>
  <c r="AE172" i="1" s="1"/>
  <c r="W163" i="1"/>
  <c r="X163" i="1"/>
  <c r="C165" i="1"/>
  <c r="R166" i="1"/>
  <c r="O162" i="1"/>
  <c r="Q164" i="1"/>
  <c r="B164" i="1"/>
  <c r="Y164" i="1"/>
  <c r="AB173" i="1"/>
  <c r="AD173" i="1" s="1"/>
  <c r="AA173" i="1"/>
  <c r="Z164" i="1"/>
  <c r="M163" i="1"/>
  <c r="I163" i="1"/>
  <c r="H163" i="1"/>
  <c r="J163" i="1" s="1"/>
  <c r="L163" i="1" s="1"/>
  <c r="N163" i="1" s="1"/>
  <c r="T163" i="1"/>
  <c r="S162" i="1" l="1"/>
  <c r="E162" i="1"/>
  <c r="W164" i="1"/>
  <c r="X164" i="1"/>
  <c r="U163" i="1"/>
  <c r="V163" i="1"/>
  <c r="P163" i="1"/>
  <c r="O163" i="1"/>
  <c r="S163" i="1"/>
  <c r="I164" i="1"/>
  <c r="M164" i="1"/>
  <c r="H164" i="1"/>
  <c r="T164" i="1"/>
  <c r="Q165" i="1"/>
  <c r="B165" i="1"/>
  <c r="Y165" i="1"/>
  <c r="AB174" i="1"/>
  <c r="AD174" i="1" s="1"/>
  <c r="Z165" i="1"/>
  <c r="AA174" i="1"/>
  <c r="AC173" i="1"/>
  <c r="AE173" i="1" s="1"/>
  <c r="D162" i="1"/>
  <c r="A162" i="1" s="1"/>
  <c r="C166" i="1"/>
  <c r="R167" i="1"/>
  <c r="AC174" i="1" l="1"/>
  <c r="AE174" i="1" s="1"/>
  <c r="U165" i="1" s="1"/>
  <c r="E163" i="1"/>
  <c r="W165" i="1"/>
  <c r="X165" i="1"/>
  <c r="C167" i="1"/>
  <c r="R168" i="1"/>
  <c r="B166" i="1"/>
  <c r="Q166" i="1"/>
  <c r="Y166" i="1"/>
  <c r="AB175" i="1"/>
  <c r="AD175" i="1" s="1"/>
  <c r="AA175" i="1"/>
  <c r="Z166" i="1"/>
  <c r="M165" i="1"/>
  <c r="I165" i="1"/>
  <c r="H165" i="1"/>
  <c r="J165" i="1" s="1"/>
  <c r="L165" i="1" s="1"/>
  <c r="T165" i="1"/>
  <c r="D163" i="1"/>
  <c r="A163" i="1" s="1"/>
  <c r="V164" i="1"/>
  <c r="U164" i="1"/>
  <c r="J164" i="1"/>
  <c r="L164" i="1" s="1"/>
  <c r="N164" i="1" s="1"/>
  <c r="N165" i="1" l="1"/>
  <c r="S165" i="1" s="1"/>
  <c r="D165" i="1" s="1"/>
  <c r="A165" i="1" s="1"/>
  <c r="V165" i="1"/>
  <c r="X166" i="1"/>
  <c r="W166" i="1"/>
  <c r="M166" i="1"/>
  <c r="I166" i="1"/>
  <c r="H166" i="1"/>
  <c r="J166" i="1" s="1"/>
  <c r="L166" i="1" s="1"/>
  <c r="T166" i="1"/>
  <c r="C168" i="1"/>
  <c r="R169" i="1"/>
  <c r="P164" i="1"/>
  <c r="E164" i="1" s="1"/>
  <c r="S164" i="1"/>
  <c r="D164" i="1" s="1"/>
  <c r="A164" i="1" s="1"/>
  <c r="O164" i="1"/>
  <c r="B167" i="1"/>
  <c r="Q167" i="1"/>
  <c r="Y167" i="1"/>
  <c r="AB176" i="1"/>
  <c r="AD176" i="1" s="1"/>
  <c r="Z167" i="1"/>
  <c r="AA176" i="1"/>
  <c r="AC175" i="1"/>
  <c r="AE175" i="1" s="1"/>
  <c r="P165" i="1" l="1"/>
  <c r="N166" i="1"/>
  <c r="O166" i="1" s="1"/>
  <c r="O165" i="1"/>
  <c r="E165" i="1"/>
  <c r="AC176" i="1"/>
  <c r="AE176" i="1" s="1"/>
  <c r="V166" i="1"/>
  <c r="U166" i="1"/>
  <c r="S166" i="1"/>
  <c r="X167" i="1"/>
  <c r="W167" i="1"/>
  <c r="C169" i="1"/>
  <c r="R170" i="1"/>
  <c r="B168" i="1"/>
  <c r="Q168" i="1"/>
  <c r="Y168" i="1"/>
  <c r="AB177" i="1"/>
  <c r="AD177" i="1" s="1"/>
  <c r="AA177" i="1"/>
  <c r="Z168" i="1"/>
  <c r="M167" i="1"/>
  <c r="I167" i="1"/>
  <c r="H167" i="1"/>
  <c r="J167" i="1" s="1"/>
  <c r="L167" i="1" s="1"/>
  <c r="T167" i="1"/>
  <c r="P166" i="1" l="1"/>
  <c r="N167" i="1"/>
  <c r="P167" i="1" s="1"/>
  <c r="AC177" i="1"/>
  <c r="AE177" i="1" s="1"/>
  <c r="U168" i="1" s="1"/>
  <c r="U167" i="1"/>
  <c r="V167" i="1"/>
  <c r="X168" i="1"/>
  <c r="W168" i="1"/>
  <c r="M168" i="1"/>
  <c r="I168" i="1"/>
  <c r="H168" i="1"/>
  <c r="J168" i="1" s="1"/>
  <c r="L168" i="1" s="1"/>
  <c r="T168" i="1"/>
  <c r="R171" i="1"/>
  <c r="C170" i="1"/>
  <c r="D166" i="1"/>
  <c r="A166" i="1" s="1"/>
  <c r="B169" i="1"/>
  <c r="Q169" i="1"/>
  <c r="Y169" i="1"/>
  <c r="AB178" i="1"/>
  <c r="AD178" i="1" s="1"/>
  <c r="AA178" i="1"/>
  <c r="Z169" i="1"/>
  <c r="E166" i="1"/>
  <c r="N168" i="1" l="1"/>
  <c r="S168" i="1" s="1"/>
  <c r="D168" i="1" s="1"/>
  <c r="A168" i="1" s="1"/>
  <c r="O167" i="1"/>
  <c r="S167" i="1"/>
  <c r="E167" i="1"/>
  <c r="V168" i="1"/>
  <c r="AC178" i="1"/>
  <c r="AE178" i="1" s="1"/>
  <c r="U169" i="1" s="1"/>
  <c r="Q170" i="1"/>
  <c r="B170" i="1"/>
  <c r="Y170" i="1"/>
  <c r="AB179" i="1"/>
  <c r="AD179" i="1" s="1"/>
  <c r="AA179" i="1"/>
  <c r="Z170" i="1"/>
  <c r="P168" i="1"/>
  <c r="O168" i="1"/>
  <c r="W169" i="1"/>
  <c r="X169" i="1"/>
  <c r="R172" i="1"/>
  <c r="C171" i="1"/>
  <c r="M169" i="1"/>
  <c r="I169" i="1"/>
  <c r="H169" i="1"/>
  <c r="J169" i="1" s="1"/>
  <c r="L169" i="1" s="1"/>
  <c r="N169" i="1" s="1"/>
  <c r="T169" i="1"/>
  <c r="D167" i="1"/>
  <c r="A167" i="1" s="1"/>
  <c r="E168" i="1" l="1"/>
  <c r="AC179" i="1"/>
  <c r="AE179" i="1" s="1"/>
  <c r="V170" i="1" s="1"/>
  <c r="V169" i="1"/>
  <c r="O169" i="1"/>
  <c r="P169" i="1"/>
  <c r="S169" i="1"/>
  <c r="D169" i="1" s="1"/>
  <c r="A169" i="1" s="1"/>
  <c r="Q171" i="1"/>
  <c r="B171" i="1"/>
  <c r="Y171" i="1"/>
  <c r="AB180" i="1"/>
  <c r="AD180" i="1" s="1"/>
  <c r="Z171" i="1"/>
  <c r="AA180" i="1"/>
  <c r="C172" i="1"/>
  <c r="R173" i="1"/>
  <c r="W170" i="1"/>
  <c r="X170" i="1"/>
  <c r="I170" i="1"/>
  <c r="M170" i="1"/>
  <c r="H170" i="1"/>
  <c r="T170" i="1"/>
  <c r="E169" i="1" l="1"/>
  <c r="U170" i="1"/>
  <c r="X171" i="1"/>
  <c r="W171" i="1"/>
  <c r="M171" i="1"/>
  <c r="I171" i="1"/>
  <c r="H171" i="1"/>
  <c r="J171" i="1" s="1"/>
  <c r="L171" i="1" s="1"/>
  <c r="T171" i="1"/>
  <c r="C173" i="1"/>
  <c r="R174" i="1"/>
  <c r="J170" i="1"/>
  <c r="L170" i="1" s="1"/>
  <c r="N170" i="1" s="1"/>
  <c r="B172" i="1"/>
  <c r="Q172" i="1"/>
  <c r="Y172" i="1"/>
  <c r="AB181" i="1"/>
  <c r="AD181" i="1" s="1"/>
  <c r="AA181" i="1"/>
  <c r="Z172" i="1"/>
  <c r="AC180" i="1"/>
  <c r="AE180" i="1" s="1"/>
  <c r="N171" i="1" l="1"/>
  <c r="O171" i="1" s="1"/>
  <c r="AC181" i="1"/>
  <c r="AE181" i="1" s="1"/>
  <c r="C174" i="1"/>
  <c r="R175" i="1"/>
  <c r="B173" i="1"/>
  <c r="Q173" i="1"/>
  <c r="Y173" i="1"/>
  <c r="AB182" i="1"/>
  <c r="AD182" i="1" s="1"/>
  <c r="AA182" i="1"/>
  <c r="Z173" i="1"/>
  <c r="M172" i="1"/>
  <c r="I172" i="1"/>
  <c r="H172" i="1"/>
  <c r="J172" i="1" s="1"/>
  <c r="L172" i="1" s="1"/>
  <c r="T172" i="1"/>
  <c r="W172" i="1"/>
  <c r="X172" i="1"/>
  <c r="V171" i="1"/>
  <c r="U171" i="1"/>
  <c r="O170" i="1"/>
  <c r="P170" i="1"/>
  <c r="E170" i="1" s="1"/>
  <c r="S170" i="1"/>
  <c r="D170" i="1" s="1"/>
  <c r="A170" i="1" s="1"/>
  <c r="N172" i="1" l="1"/>
  <c r="S172" i="1" s="1"/>
  <c r="P171" i="1"/>
  <c r="E171" i="1" s="1"/>
  <c r="S171" i="1"/>
  <c r="D171" i="1" s="1"/>
  <c r="A171" i="1" s="1"/>
  <c r="AC182" i="1"/>
  <c r="AE182" i="1" s="1"/>
  <c r="U173" i="1" s="1"/>
  <c r="W173" i="1"/>
  <c r="X173" i="1"/>
  <c r="M173" i="1"/>
  <c r="I173" i="1"/>
  <c r="H173" i="1"/>
  <c r="J173" i="1" s="1"/>
  <c r="L173" i="1" s="1"/>
  <c r="T173" i="1"/>
  <c r="P172" i="1"/>
  <c r="R176" i="1"/>
  <c r="C175" i="1"/>
  <c r="B174" i="1"/>
  <c r="Q174" i="1"/>
  <c r="Y174" i="1"/>
  <c r="AB183" i="1"/>
  <c r="AD183" i="1" s="1"/>
  <c r="AA183" i="1"/>
  <c r="Z174" i="1"/>
  <c r="V172" i="1"/>
  <c r="U172" i="1"/>
  <c r="O172" i="1" l="1"/>
  <c r="N173" i="1"/>
  <c r="O173" i="1" s="1"/>
  <c r="D172" i="1"/>
  <c r="A172" i="1" s="1"/>
  <c r="AC183" i="1"/>
  <c r="AE183" i="1" s="1"/>
  <c r="U174" i="1" s="1"/>
  <c r="V173" i="1"/>
  <c r="E172" i="1"/>
  <c r="M174" i="1"/>
  <c r="I174" i="1"/>
  <c r="H174" i="1"/>
  <c r="J174" i="1" s="1"/>
  <c r="L174" i="1" s="1"/>
  <c r="T174" i="1"/>
  <c r="W174" i="1"/>
  <c r="X174" i="1"/>
  <c r="Q175" i="1"/>
  <c r="B175" i="1"/>
  <c r="Y175" i="1"/>
  <c r="AB184" i="1"/>
  <c r="AD184" i="1" s="1"/>
  <c r="AA184" i="1"/>
  <c r="Z175" i="1"/>
  <c r="C176" i="1"/>
  <c r="R177" i="1"/>
  <c r="P173" i="1" l="1"/>
  <c r="N174" i="1"/>
  <c r="P174" i="1" s="1"/>
  <c r="S173" i="1"/>
  <c r="D173" i="1" s="1"/>
  <c r="A173" i="1" s="1"/>
  <c r="E173" i="1"/>
  <c r="V174" i="1"/>
  <c r="AC184" i="1"/>
  <c r="AE184" i="1" s="1"/>
  <c r="X175" i="1"/>
  <c r="W175" i="1"/>
  <c r="B176" i="1"/>
  <c r="Q176" i="1"/>
  <c r="Y176" i="1"/>
  <c r="AB185" i="1"/>
  <c r="AD185" i="1" s="1"/>
  <c r="Z176" i="1"/>
  <c r="AA185" i="1"/>
  <c r="M175" i="1"/>
  <c r="I175" i="1"/>
  <c r="H175" i="1"/>
  <c r="T175" i="1"/>
  <c r="R178" i="1"/>
  <c r="C177" i="1"/>
  <c r="S174" i="1" l="1"/>
  <c r="D174" i="1" s="1"/>
  <c r="A174" i="1" s="1"/>
  <c r="O174" i="1"/>
  <c r="E174" i="1"/>
  <c r="AC185" i="1"/>
  <c r="AE185" i="1" s="1"/>
  <c r="U176" i="1" s="1"/>
  <c r="W176" i="1"/>
  <c r="X176" i="1"/>
  <c r="C178" i="1"/>
  <c r="R179" i="1"/>
  <c r="M176" i="1"/>
  <c r="I176" i="1"/>
  <c r="H176" i="1"/>
  <c r="T176" i="1"/>
  <c r="J175" i="1"/>
  <c r="L175" i="1" s="1"/>
  <c r="N175" i="1" s="1"/>
  <c r="U175" i="1"/>
  <c r="V175" i="1"/>
  <c r="Q177" i="1"/>
  <c r="B177" i="1"/>
  <c r="Y177" i="1"/>
  <c r="AB186" i="1"/>
  <c r="AD186" i="1" s="1"/>
  <c r="Z177" i="1"/>
  <c r="AA186" i="1"/>
  <c r="V176" i="1" l="1"/>
  <c r="W177" i="1"/>
  <c r="X177" i="1"/>
  <c r="M177" i="1"/>
  <c r="I177" i="1"/>
  <c r="H177" i="1"/>
  <c r="J177" i="1" s="1"/>
  <c r="L177" i="1" s="1"/>
  <c r="T177" i="1"/>
  <c r="C179" i="1"/>
  <c r="R180" i="1"/>
  <c r="Q178" i="1"/>
  <c r="B178" i="1"/>
  <c r="Y178" i="1"/>
  <c r="AB187" i="1"/>
  <c r="AD187" i="1" s="1"/>
  <c r="Z178" i="1"/>
  <c r="AA187" i="1"/>
  <c r="O175" i="1"/>
  <c r="P175" i="1"/>
  <c r="E175" i="1" s="1"/>
  <c r="S175" i="1"/>
  <c r="D175" i="1" s="1"/>
  <c r="A175" i="1" s="1"/>
  <c r="AC186" i="1"/>
  <c r="AE186" i="1" s="1"/>
  <c r="J176" i="1"/>
  <c r="L176" i="1" s="1"/>
  <c r="N176" i="1" s="1"/>
  <c r="N177" i="1" l="1"/>
  <c r="S177" i="1" s="1"/>
  <c r="P176" i="1"/>
  <c r="E176" i="1" s="1"/>
  <c r="O176" i="1"/>
  <c r="S176" i="1"/>
  <c r="D176" i="1" s="1"/>
  <c r="A176" i="1" s="1"/>
  <c r="Q179" i="1"/>
  <c r="B179" i="1"/>
  <c r="Y179" i="1"/>
  <c r="AB188" i="1"/>
  <c r="AD188" i="1" s="1"/>
  <c r="AA188" i="1"/>
  <c r="Z179" i="1"/>
  <c r="V177" i="1"/>
  <c r="U177" i="1"/>
  <c r="X178" i="1"/>
  <c r="W178" i="1"/>
  <c r="AC187" i="1"/>
  <c r="AE187" i="1" s="1"/>
  <c r="M178" i="1"/>
  <c r="I178" i="1"/>
  <c r="H178" i="1"/>
  <c r="T178" i="1"/>
  <c r="R181" i="1"/>
  <c r="C180" i="1"/>
  <c r="O177" i="1" l="1"/>
  <c r="D177" i="1"/>
  <c r="A177" i="1" s="1"/>
  <c r="P177" i="1"/>
  <c r="E177" i="1" s="1"/>
  <c r="X179" i="1"/>
  <c r="W179" i="1"/>
  <c r="Q180" i="1"/>
  <c r="B180" i="1"/>
  <c r="Y180" i="1"/>
  <c r="AB189" i="1"/>
  <c r="AD189" i="1" s="1"/>
  <c r="Z180" i="1"/>
  <c r="AA189" i="1"/>
  <c r="C181" i="1"/>
  <c r="R182" i="1"/>
  <c r="J178" i="1"/>
  <c r="L178" i="1" s="1"/>
  <c r="N178" i="1" s="1"/>
  <c r="I179" i="1"/>
  <c r="M179" i="1"/>
  <c r="H179" i="1"/>
  <c r="J179" i="1" s="1"/>
  <c r="L179" i="1" s="1"/>
  <c r="T179" i="1"/>
  <c r="V178" i="1"/>
  <c r="U178" i="1"/>
  <c r="AC188" i="1"/>
  <c r="AE188" i="1" s="1"/>
  <c r="AC189" i="1" l="1"/>
  <c r="AE189" i="1" s="1"/>
  <c r="U180" i="1" s="1"/>
  <c r="N179" i="1"/>
  <c r="O178" i="1"/>
  <c r="P178" i="1"/>
  <c r="E178" i="1" s="1"/>
  <c r="S178" i="1"/>
  <c r="D178" i="1" s="1"/>
  <c r="A178" i="1" s="1"/>
  <c r="M180" i="1"/>
  <c r="I180" i="1"/>
  <c r="H180" i="1"/>
  <c r="J180" i="1" s="1"/>
  <c r="L180" i="1" s="1"/>
  <c r="T180" i="1"/>
  <c r="U179" i="1"/>
  <c r="V179" i="1"/>
  <c r="C182" i="1"/>
  <c r="R183" i="1"/>
  <c r="W180" i="1"/>
  <c r="X180" i="1"/>
  <c r="B181" i="1"/>
  <c r="Q181" i="1"/>
  <c r="Y181" i="1"/>
  <c r="AB190" i="1"/>
  <c r="AD190" i="1" s="1"/>
  <c r="Z181" i="1"/>
  <c r="AA190" i="1"/>
  <c r="V180" i="1" l="1"/>
  <c r="N180" i="1"/>
  <c r="AC190" i="1"/>
  <c r="AE190" i="1" s="1"/>
  <c r="R184" i="1"/>
  <c r="C183" i="1"/>
  <c r="X181" i="1"/>
  <c r="W181" i="1"/>
  <c r="O179" i="1"/>
  <c r="P179" i="1"/>
  <c r="E179" i="1" s="1"/>
  <c r="S179" i="1"/>
  <c r="D179" i="1" s="1"/>
  <c r="A179" i="1" s="1"/>
  <c r="Q182" i="1"/>
  <c r="B182" i="1"/>
  <c r="Y182" i="1"/>
  <c r="AB191" i="1"/>
  <c r="AD191" i="1" s="1"/>
  <c r="Z182" i="1"/>
  <c r="AA191" i="1"/>
  <c r="M181" i="1"/>
  <c r="I181" i="1"/>
  <c r="H181" i="1"/>
  <c r="J181" i="1" s="1"/>
  <c r="L181" i="1" s="1"/>
  <c r="N181" i="1" s="1"/>
  <c r="T181" i="1"/>
  <c r="AC191" i="1" l="1"/>
  <c r="AE191" i="1" s="1"/>
  <c r="X182" i="1"/>
  <c r="W182" i="1"/>
  <c r="O181" i="1"/>
  <c r="P181" i="1"/>
  <c r="S181" i="1"/>
  <c r="M182" i="1"/>
  <c r="I182" i="1"/>
  <c r="H182" i="1"/>
  <c r="J182" i="1" s="1"/>
  <c r="L182" i="1" s="1"/>
  <c r="N182" i="1" s="1"/>
  <c r="T182" i="1"/>
  <c r="Q183" i="1"/>
  <c r="B183" i="1"/>
  <c r="Y183" i="1"/>
  <c r="AB192" i="1"/>
  <c r="AD192" i="1" s="1"/>
  <c r="Z183" i="1"/>
  <c r="AA192" i="1"/>
  <c r="C184" i="1"/>
  <c r="R185" i="1"/>
  <c r="U181" i="1"/>
  <c r="V181" i="1"/>
  <c r="E181" i="1" s="1"/>
  <c r="O180" i="1"/>
  <c r="P180" i="1"/>
  <c r="E180" i="1" s="1"/>
  <c r="S180" i="1"/>
  <c r="D180" i="1" s="1"/>
  <c r="A180" i="1" s="1"/>
  <c r="P182" i="1" l="1"/>
  <c r="O182" i="1"/>
  <c r="S182" i="1"/>
  <c r="V182" i="1"/>
  <c r="E182" i="1" s="1"/>
  <c r="U182" i="1"/>
  <c r="D182" i="1" s="1"/>
  <c r="A182" i="1" s="1"/>
  <c r="W183" i="1"/>
  <c r="X183" i="1"/>
  <c r="AC192" i="1"/>
  <c r="AE192" i="1" s="1"/>
  <c r="D181" i="1"/>
  <c r="A181" i="1" s="1"/>
  <c r="C185" i="1"/>
  <c r="R186" i="1"/>
  <c r="M183" i="1"/>
  <c r="I183" i="1"/>
  <c r="H183" i="1"/>
  <c r="J183" i="1" s="1"/>
  <c r="L183" i="1" s="1"/>
  <c r="T183" i="1"/>
  <c r="Q184" i="1"/>
  <c r="B184" i="1"/>
  <c r="Y184" i="1"/>
  <c r="AB193" i="1"/>
  <c r="AD193" i="1" s="1"/>
  <c r="AA193" i="1"/>
  <c r="Z184" i="1"/>
  <c r="N183" i="1" l="1"/>
  <c r="P183" i="1" s="1"/>
  <c r="AC193" i="1"/>
  <c r="AE193" i="1" s="1"/>
  <c r="U184" i="1" s="1"/>
  <c r="V183" i="1"/>
  <c r="U183" i="1"/>
  <c r="M184" i="1"/>
  <c r="I184" i="1"/>
  <c r="H184" i="1"/>
  <c r="J184" i="1" s="1"/>
  <c r="L184" i="1" s="1"/>
  <c r="T184" i="1"/>
  <c r="X184" i="1"/>
  <c r="W184" i="1"/>
  <c r="B185" i="1"/>
  <c r="Q185" i="1"/>
  <c r="Y185" i="1"/>
  <c r="AB194" i="1"/>
  <c r="AD194" i="1" s="1"/>
  <c r="AA194" i="1"/>
  <c r="Z185" i="1"/>
  <c r="C186" i="1"/>
  <c r="R187" i="1"/>
  <c r="S183" i="1" l="1"/>
  <c r="N184" i="1"/>
  <c r="O184" i="1" s="1"/>
  <c r="O183" i="1"/>
  <c r="V184" i="1"/>
  <c r="X185" i="1"/>
  <c r="W185" i="1"/>
  <c r="M185" i="1"/>
  <c r="I185" i="1"/>
  <c r="H185" i="1"/>
  <c r="J185" i="1" s="1"/>
  <c r="L185" i="1" s="1"/>
  <c r="T185" i="1"/>
  <c r="R188" i="1"/>
  <c r="C187" i="1"/>
  <c r="Q186" i="1"/>
  <c r="B186" i="1"/>
  <c r="Y186" i="1"/>
  <c r="AB195" i="1"/>
  <c r="AD195" i="1" s="1"/>
  <c r="Z186" i="1"/>
  <c r="AA195" i="1"/>
  <c r="AC194" i="1"/>
  <c r="AE194" i="1" s="1"/>
  <c r="D183" i="1"/>
  <c r="A183" i="1" s="1"/>
  <c r="E183" i="1"/>
  <c r="P184" i="1" l="1"/>
  <c r="E184" i="1" s="1"/>
  <c r="S184" i="1"/>
  <c r="D184" i="1" s="1"/>
  <c r="A184" i="1" s="1"/>
  <c r="N185" i="1"/>
  <c r="O185" i="1" s="1"/>
  <c r="AC195" i="1"/>
  <c r="AE195" i="1" s="1"/>
  <c r="M186" i="1"/>
  <c r="I186" i="1"/>
  <c r="H186" i="1"/>
  <c r="J186" i="1" s="1"/>
  <c r="L186" i="1" s="1"/>
  <c r="N186" i="1" s="1"/>
  <c r="T186" i="1"/>
  <c r="X186" i="1"/>
  <c r="W186" i="1"/>
  <c r="B187" i="1"/>
  <c r="Q187" i="1"/>
  <c r="Y187" i="1"/>
  <c r="AB196" i="1"/>
  <c r="AD196" i="1" s="1"/>
  <c r="Z187" i="1"/>
  <c r="AA196" i="1"/>
  <c r="U185" i="1"/>
  <c r="V185" i="1"/>
  <c r="C188" i="1"/>
  <c r="R189" i="1"/>
  <c r="S185" i="1" l="1"/>
  <c r="D185" i="1" s="1"/>
  <c r="A185" i="1" s="1"/>
  <c r="P185" i="1"/>
  <c r="E185" i="1" s="1"/>
  <c r="S186" i="1"/>
  <c r="P186" i="1"/>
  <c r="O186" i="1"/>
  <c r="AC196" i="1"/>
  <c r="AE196" i="1" s="1"/>
  <c r="X187" i="1"/>
  <c r="W187" i="1"/>
  <c r="C189" i="1"/>
  <c r="R190" i="1"/>
  <c r="M187" i="1"/>
  <c r="I187" i="1"/>
  <c r="H187" i="1"/>
  <c r="J187" i="1" s="1"/>
  <c r="L187" i="1" s="1"/>
  <c r="T187" i="1"/>
  <c r="B188" i="1"/>
  <c r="Q188" i="1"/>
  <c r="Y188" i="1"/>
  <c r="AB197" i="1"/>
  <c r="AD197" i="1" s="1"/>
  <c r="AA197" i="1"/>
  <c r="Z188" i="1"/>
  <c r="V186" i="1"/>
  <c r="E186" i="1" s="1"/>
  <c r="U186" i="1"/>
  <c r="N187" i="1" l="1"/>
  <c r="P187" i="1" s="1"/>
  <c r="D186" i="1"/>
  <c r="A186" i="1" s="1"/>
  <c r="AC197" i="1"/>
  <c r="AE197" i="1" s="1"/>
  <c r="W188" i="1"/>
  <c r="X188" i="1"/>
  <c r="Q189" i="1"/>
  <c r="B189" i="1"/>
  <c r="Y189" i="1"/>
  <c r="AB198" i="1"/>
  <c r="AD198" i="1" s="1"/>
  <c r="Z189" i="1"/>
  <c r="AA198" i="1"/>
  <c r="C190" i="1"/>
  <c r="R191" i="1"/>
  <c r="M188" i="1"/>
  <c r="I188" i="1"/>
  <c r="H188" i="1"/>
  <c r="J188" i="1" s="1"/>
  <c r="L188" i="1" s="1"/>
  <c r="T188" i="1"/>
  <c r="U187" i="1"/>
  <c r="V187" i="1"/>
  <c r="N188" i="1" l="1"/>
  <c r="S188" i="1" s="1"/>
  <c r="S187" i="1"/>
  <c r="D187" i="1" s="1"/>
  <c r="A187" i="1" s="1"/>
  <c r="O187" i="1"/>
  <c r="E187" i="1"/>
  <c r="AC198" i="1"/>
  <c r="AE198" i="1" s="1"/>
  <c r="W189" i="1"/>
  <c r="X189" i="1"/>
  <c r="I189" i="1"/>
  <c r="M189" i="1"/>
  <c r="H189" i="1"/>
  <c r="J189" i="1" s="1"/>
  <c r="L189" i="1" s="1"/>
  <c r="T189" i="1"/>
  <c r="U188" i="1"/>
  <c r="V188" i="1"/>
  <c r="R192" i="1"/>
  <c r="C191" i="1"/>
  <c r="Q190" i="1"/>
  <c r="B190" i="1"/>
  <c r="Y190" i="1"/>
  <c r="AB199" i="1"/>
  <c r="AD199" i="1" s="1"/>
  <c r="Z190" i="1"/>
  <c r="AA199" i="1"/>
  <c r="O188" i="1" l="1"/>
  <c r="P188" i="1"/>
  <c r="E188" i="1" s="1"/>
  <c r="N189" i="1"/>
  <c r="P189" i="1" s="1"/>
  <c r="M190" i="1"/>
  <c r="I190" i="1"/>
  <c r="H190" i="1"/>
  <c r="J190" i="1" s="1"/>
  <c r="L190" i="1" s="1"/>
  <c r="T190" i="1"/>
  <c r="W190" i="1"/>
  <c r="X190" i="1"/>
  <c r="B191" i="1"/>
  <c r="Q191" i="1"/>
  <c r="Y191" i="1"/>
  <c r="AB200" i="1"/>
  <c r="AD200" i="1" s="1"/>
  <c r="Z191" i="1"/>
  <c r="AA200" i="1"/>
  <c r="R193" i="1"/>
  <c r="C192" i="1"/>
  <c r="AC199" i="1"/>
  <c r="AE199" i="1" s="1"/>
  <c r="D188" i="1"/>
  <c r="A188" i="1" s="1"/>
  <c r="U189" i="1"/>
  <c r="V189" i="1"/>
  <c r="O189" i="1" l="1"/>
  <c r="N190" i="1"/>
  <c r="S190" i="1" s="1"/>
  <c r="E189" i="1"/>
  <c r="S189" i="1"/>
  <c r="D189" i="1" s="1"/>
  <c r="A189" i="1" s="1"/>
  <c r="C193" i="1"/>
  <c r="R194" i="1"/>
  <c r="AC200" i="1"/>
  <c r="AE200" i="1" s="1"/>
  <c r="W191" i="1"/>
  <c r="X191" i="1"/>
  <c r="M191" i="1"/>
  <c r="I191" i="1"/>
  <c r="H191" i="1"/>
  <c r="J191" i="1" s="1"/>
  <c r="L191" i="1" s="1"/>
  <c r="T191" i="1"/>
  <c r="U190" i="1"/>
  <c r="V190" i="1"/>
  <c r="Q192" i="1"/>
  <c r="B192" i="1"/>
  <c r="Y192" i="1"/>
  <c r="AB201" i="1"/>
  <c r="AD201" i="1" s="1"/>
  <c r="AA201" i="1"/>
  <c r="Z192" i="1"/>
  <c r="P190" i="1" l="1"/>
  <c r="O190" i="1"/>
  <c r="N191" i="1"/>
  <c r="P191" i="1" s="1"/>
  <c r="D190" i="1"/>
  <c r="A190" i="1" s="1"/>
  <c r="E190" i="1"/>
  <c r="M192" i="1"/>
  <c r="I192" i="1"/>
  <c r="H192" i="1"/>
  <c r="J192" i="1" s="1"/>
  <c r="L192" i="1" s="1"/>
  <c r="T192" i="1"/>
  <c r="AC201" i="1"/>
  <c r="AE201" i="1" s="1"/>
  <c r="U191" i="1"/>
  <c r="V191" i="1"/>
  <c r="C194" i="1"/>
  <c r="R195" i="1"/>
  <c r="W192" i="1"/>
  <c r="X192" i="1"/>
  <c r="Q193" i="1"/>
  <c r="B193" i="1"/>
  <c r="Y193" i="1"/>
  <c r="AB202" i="1"/>
  <c r="AD202" i="1" s="1"/>
  <c r="AA202" i="1"/>
  <c r="Z193" i="1"/>
  <c r="S191" i="1" l="1"/>
  <c r="E191" i="1"/>
  <c r="O191" i="1"/>
  <c r="N192" i="1"/>
  <c r="S192" i="1" s="1"/>
  <c r="AC202" i="1"/>
  <c r="AE202" i="1" s="1"/>
  <c r="D191" i="1"/>
  <c r="A191" i="1" s="1"/>
  <c r="C195" i="1"/>
  <c r="R196" i="1"/>
  <c r="V192" i="1"/>
  <c r="U192" i="1"/>
  <c r="M193" i="1"/>
  <c r="I193" i="1"/>
  <c r="H193" i="1"/>
  <c r="J193" i="1" s="1"/>
  <c r="L193" i="1" s="1"/>
  <c r="N193" i="1" s="1"/>
  <c r="T193" i="1"/>
  <c r="Q194" i="1"/>
  <c r="B194" i="1"/>
  <c r="Y194" i="1"/>
  <c r="AB203" i="1"/>
  <c r="AD203" i="1" s="1"/>
  <c r="AA203" i="1"/>
  <c r="Z194" i="1"/>
  <c r="W193" i="1"/>
  <c r="X193" i="1"/>
  <c r="O192" i="1" l="1"/>
  <c r="P192" i="1"/>
  <c r="E192" i="1" s="1"/>
  <c r="AC203" i="1"/>
  <c r="AE203" i="1" s="1"/>
  <c r="U194" i="1" s="1"/>
  <c r="D192" i="1"/>
  <c r="A192" i="1" s="1"/>
  <c r="X194" i="1"/>
  <c r="W194" i="1"/>
  <c r="C196" i="1"/>
  <c r="R197" i="1"/>
  <c r="M194" i="1"/>
  <c r="I194" i="1"/>
  <c r="H194" i="1"/>
  <c r="T194" i="1"/>
  <c r="B195" i="1"/>
  <c r="Q195" i="1"/>
  <c r="Y195" i="1"/>
  <c r="AB204" i="1"/>
  <c r="AD204" i="1" s="1"/>
  <c r="Z195" i="1"/>
  <c r="AA204" i="1"/>
  <c r="U193" i="1"/>
  <c r="V193" i="1"/>
  <c r="O193" i="1"/>
  <c r="S193" i="1"/>
  <c r="P193" i="1"/>
  <c r="E193" i="1" l="1"/>
  <c r="D193" i="1"/>
  <c r="A193" i="1" s="1"/>
  <c r="V194" i="1"/>
  <c r="J194" i="1"/>
  <c r="L194" i="1" s="1"/>
  <c r="N194" i="1" s="1"/>
  <c r="C197" i="1"/>
  <c r="R198" i="1"/>
  <c r="W195" i="1"/>
  <c r="X195" i="1"/>
  <c r="Q196" i="1"/>
  <c r="B196" i="1"/>
  <c r="Y196" i="1"/>
  <c r="AB205" i="1"/>
  <c r="AD205" i="1" s="1"/>
  <c r="AA205" i="1"/>
  <c r="Z196" i="1"/>
  <c r="AC204" i="1"/>
  <c r="AE204" i="1" s="1"/>
  <c r="M195" i="1"/>
  <c r="I195" i="1"/>
  <c r="H195" i="1"/>
  <c r="J195" i="1" s="1"/>
  <c r="L195" i="1" s="1"/>
  <c r="T195" i="1"/>
  <c r="N195" i="1" l="1"/>
  <c r="S195" i="1" s="1"/>
  <c r="AC205" i="1"/>
  <c r="AE205" i="1" s="1"/>
  <c r="V196" i="1" s="1"/>
  <c r="X196" i="1"/>
  <c r="W196" i="1"/>
  <c r="U195" i="1"/>
  <c r="V195" i="1"/>
  <c r="C198" i="1"/>
  <c r="R199" i="1"/>
  <c r="I196" i="1"/>
  <c r="M196" i="1"/>
  <c r="H196" i="1"/>
  <c r="J196" i="1" s="1"/>
  <c r="L196" i="1" s="1"/>
  <c r="T196" i="1"/>
  <c r="B197" i="1"/>
  <c r="Q197" i="1"/>
  <c r="Y197" i="1"/>
  <c r="AB206" i="1"/>
  <c r="AD206" i="1" s="1"/>
  <c r="Z197" i="1"/>
  <c r="AA206" i="1"/>
  <c r="P194" i="1"/>
  <c r="E194" i="1" s="1"/>
  <c r="S194" i="1"/>
  <c r="D194" i="1" s="1"/>
  <c r="A194" i="1" s="1"/>
  <c r="O194" i="1"/>
  <c r="N196" i="1" l="1"/>
  <c r="P196" i="1" s="1"/>
  <c r="E196" i="1" s="1"/>
  <c r="O195" i="1"/>
  <c r="P195" i="1"/>
  <c r="E195" i="1" s="1"/>
  <c r="D195" i="1"/>
  <c r="A195" i="1" s="1"/>
  <c r="U196" i="1"/>
  <c r="R200" i="1"/>
  <c r="C199" i="1"/>
  <c r="X197" i="1"/>
  <c r="W197" i="1"/>
  <c r="B198" i="1"/>
  <c r="Q198" i="1"/>
  <c r="Y198" i="1"/>
  <c r="AB207" i="1"/>
  <c r="AD207" i="1" s="1"/>
  <c r="AA207" i="1"/>
  <c r="Z198" i="1"/>
  <c r="S196" i="1"/>
  <c r="O196" i="1"/>
  <c r="AC206" i="1"/>
  <c r="AE206" i="1" s="1"/>
  <c r="M197" i="1"/>
  <c r="I197" i="1"/>
  <c r="H197" i="1"/>
  <c r="J197" i="1" s="1"/>
  <c r="L197" i="1" s="1"/>
  <c r="T197" i="1"/>
  <c r="N197" i="1" l="1"/>
  <c r="O197" i="1" s="1"/>
  <c r="D196" i="1"/>
  <c r="A196" i="1" s="1"/>
  <c r="W198" i="1"/>
  <c r="X198" i="1"/>
  <c r="V197" i="1"/>
  <c r="U197" i="1"/>
  <c r="M198" i="1"/>
  <c r="I198" i="1"/>
  <c r="H198" i="1"/>
  <c r="T198" i="1"/>
  <c r="AC207" i="1"/>
  <c r="AE207" i="1" s="1"/>
  <c r="B199" i="1"/>
  <c r="Q199" i="1"/>
  <c r="Y199" i="1"/>
  <c r="AB208" i="1"/>
  <c r="AD208" i="1" s="1"/>
  <c r="Z199" i="1"/>
  <c r="AA208" i="1"/>
  <c r="R201" i="1"/>
  <c r="C200" i="1"/>
  <c r="S197" i="1" l="1"/>
  <c r="P197" i="1"/>
  <c r="E197" i="1" s="1"/>
  <c r="J198" i="1"/>
  <c r="L198" i="1" s="1"/>
  <c r="N198" i="1" s="1"/>
  <c r="W199" i="1"/>
  <c r="X199" i="1"/>
  <c r="M199" i="1"/>
  <c r="I199" i="1"/>
  <c r="H199" i="1"/>
  <c r="J199" i="1" s="1"/>
  <c r="L199" i="1" s="1"/>
  <c r="T199" i="1"/>
  <c r="U198" i="1"/>
  <c r="V198" i="1"/>
  <c r="D197" i="1"/>
  <c r="A197" i="1" s="1"/>
  <c r="Q200" i="1"/>
  <c r="B200" i="1"/>
  <c r="Y200" i="1"/>
  <c r="AB209" i="1"/>
  <c r="AD209" i="1" s="1"/>
  <c r="Z200" i="1"/>
  <c r="AA209" i="1"/>
  <c r="R202" i="1"/>
  <c r="C201" i="1"/>
  <c r="AC208" i="1"/>
  <c r="AE208" i="1" s="1"/>
  <c r="N199" i="1" l="1"/>
  <c r="P199" i="1" s="1"/>
  <c r="AC209" i="1"/>
  <c r="AE209" i="1" s="1"/>
  <c r="C202" i="1"/>
  <c r="R203" i="1"/>
  <c r="W200" i="1"/>
  <c r="X200" i="1"/>
  <c r="V199" i="1"/>
  <c r="U199" i="1"/>
  <c r="M200" i="1"/>
  <c r="I200" i="1"/>
  <c r="H200" i="1"/>
  <c r="T200" i="1"/>
  <c r="B201" i="1"/>
  <c r="Q201" i="1"/>
  <c r="Y201" i="1"/>
  <c r="AB210" i="1"/>
  <c r="AD210" i="1" s="1"/>
  <c r="AA210" i="1"/>
  <c r="Z201" i="1"/>
  <c r="P198" i="1"/>
  <c r="E198" i="1" s="1"/>
  <c r="O198" i="1"/>
  <c r="S198" i="1"/>
  <c r="D198" i="1" s="1"/>
  <c r="A198" i="1" s="1"/>
  <c r="E199" i="1" l="1"/>
  <c r="S199" i="1"/>
  <c r="O199" i="1"/>
  <c r="AC210" i="1"/>
  <c r="AE210" i="1" s="1"/>
  <c r="V201" i="1" s="1"/>
  <c r="J200" i="1"/>
  <c r="L200" i="1" s="1"/>
  <c r="N200" i="1" s="1"/>
  <c r="R204" i="1"/>
  <c r="C203" i="1"/>
  <c r="B202" i="1"/>
  <c r="Q202" i="1"/>
  <c r="Y202" i="1"/>
  <c r="AB211" i="1"/>
  <c r="AD211" i="1" s="1"/>
  <c r="AA211" i="1"/>
  <c r="Z202" i="1"/>
  <c r="D199" i="1"/>
  <c r="A199" i="1" s="1"/>
  <c r="X201" i="1"/>
  <c r="W201" i="1"/>
  <c r="V200" i="1"/>
  <c r="U200" i="1"/>
  <c r="M201" i="1"/>
  <c r="I201" i="1"/>
  <c r="H201" i="1"/>
  <c r="J201" i="1" s="1"/>
  <c r="L201" i="1" s="1"/>
  <c r="N201" i="1" s="1"/>
  <c r="T201" i="1"/>
  <c r="U201" i="1" l="1"/>
  <c r="AC211" i="1"/>
  <c r="AE211" i="1" s="1"/>
  <c r="V202" i="1" s="1"/>
  <c r="X202" i="1"/>
  <c r="W202" i="1"/>
  <c r="M202" i="1"/>
  <c r="I202" i="1"/>
  <c r="H202" i="1"/>
  <c r="J202" i="1" s="1"/>
  <c r="L202" i="1" s="1"/>
  <c r="T202" i="1"/>
  <c r="O201" i="1"/>
  <c r="P201" i="1"/>
  <c r="E201" i="1" s="1"/>
  <c r="S201" i="1"/>
  <c r="Q203" i="1"/>
  <c r="B203" i="1"/>
  <c r="Y203" i="1"/>
  <c r="AB212" i="1"/>
  <c r="AD212" i="1" s="1"/>
  <c r="Z203" i="1"/>
  <c r="AA212" i="1"/>
  <c r="R205" i="1"/>
  <c r="C204" i="1"/>
  <c r="S200" i="1"/>
  <c r="D200" i="1" s="1"/>
  <c r="A200" i="1" s="1"/>
  <c r="P200" i="1"/>
  <c r="E200" i="1" s="1"/>
  <c r="O200" i="1"/>
  <c r="N202" i="1" l="1"/>
  <c r="P202" i="1" s="1"/>
  <c r="E202" i="1" s="1"/>
  <c r="D201" i="1"/>
  <c r="A201" i="1" s="1"/>
  <c r="U202" i="1"/>
  <c r="R206" i="1"/>
  <c r="C205" i="1"/>
  <c r="B204" i="1"/>
  <c r="Q204" i="1"/>
  <c r="Y204" i="1"/>
  <c r="AB213" i="1"/>
  <c r="AD213" i="1" s="1"/>
  <c r="Z204" i="1"/>
  <c r="AA213" i="1"/>
  <c r="M203" i="1"/>
  <c r="I203" i="1"/>
  <c r="H203" i="1"/>
  <c r="J203" i="1" s="1"/>
  <c r="L203" i="1" s="1"/>
  <c r="T203" i="1"/>
  <c r="AC212" i="1"/>
  <c r="AE212" i="1" s="1"/>
  <c r="X203" i="1"/>
  <c r="W203" i="1"/>
  <c r="O202" i="1" l="1"/>
  <c r="S202" i="1"/>
  <c r="N203" i="1"/>
  <c r="O203" i="1" s="1"/>
  <c r="D202" i="1"/>
  <c r="A202" i="1" s="1"/>
  <c r="AC213" i="1"/>
  <c r="AE213" i="1" s="1"/>
  <c r="V204" i="1" s="1"/>
  <c r="X204" i="1"/>
  <c r="W204" i="1"/>
  <c r="M204" i="1"/>
  <c r="I204" i="1"/>
  <c r="H204" i="1"/>
  <c r="J204" i="1" s="1"/>
  <c r="L204" i="1" s="1"/>
  <c r="T204" i="1"/>
  <c r="B205" i="1"/>
  <c r="Q205" i="1"/>
  <c r="Y205" i="1"/>
  <c r="AB214" i="1"/>
  <c r="AD214" i="1" s="1"/>
  <c r="AA214" i="1"/>
  <c r="Z205" i="1"/>
  <c r="U203" i="1"/>
  <c r="V203" i="1"/>
  <c r="C206" i="1"/>
  <c r="R207" i="1"/>
  <c r="N204" i="1" l="1"/>
  <c r="O204" i="1" s="1"/>
  <c r="P203" i="1"/>
  <c r="E203" i="1" s="1"/>
  <c r="S203" i="1"/>
  <c r="D203" i="1" s="1"/>
  <c r="A203" i="1" s="1"/>
  <c r="U204" i="1"/>
  <c r="X205" i="1"/>
  <c r="W205" i="1"/>
  <c r="C207" i="1"/>
  <c r="R208" i="1"/>
  <c r="M205" i="1"/>
  <c r="I205" i="1"/>
  <c r="H205" i="1"/>
  <c r="T205" i="1"/>
  <c r="B206" i="1"/>
  <c r="Q206" i="1"/>
  <c r="Y206" i="1"/>
  <c r="AB215" i="1"/>
  <c r="AD215" i="1" s="1"/>
  <c r="Z206" i="1"/>
  <c r="AA215" i="1"/>
  <c r="AC214" i="1"/>
  <c r="AE214" i="1" s="1"/>
  <c r="S204" i="1" l="1"/>
  <c r="D204" i="1" s="1"/>
  <c r="A204" i="1" s="1"/>
  <c r="P204" i="1"/>
  <c r="E204" i="1" s="1"/>
  <c r="W206" i="1"/>
  <c r="X206" i="1"/>
  <c r="R209" i="1"/>
  <c r="C208" i="1"/>
  <c r="Q207" i="1"/>
  <c r="B207" i="1"/>
  <c r="Y207" i="1"/>
  <c r="AB216" i="1"/>
  <c r="AD216" i="1" s="1"/>
  <c r="AA216" i="1"/>
  <c r="Z207" i="1"/>
  <c r="M206" i="1"/>
  <c r="I206" i="1"/>
  <c r="H206" i="1"/>
  <c r="J206" i="1" s="1"/>
  <c r="L206" i="1" s="1"/>
  <c r="T206" i="1"/>
  <c r="V205" i="1"/>
  <c r="U205" i="1"/>
  <c r="AC215" i="1"/>
  <c r="AE215" i="1" s="1"/>
  <c r="J205" i="1"/>
  <c r="L205" i="1" s="1"/>
  <c r="N205" i="1" s="1"/>
  <c r="N206" i="1" l="1"/>
  <c r="S206" i="1" s="1"/>
  <c r="AC216" i="1"/>
  <c r="AE216" i="1" s="1"/>
  <c r="P205" i="1"/>
  <c r="E205" i="1" s="1"/>
  <c r="O205" i="1"/>
  <c r="S205" i="1"/>
  <c r="D205" i="1" s="1"/>
  <c r="A205" i="1" s="1"/>
  <c r="M207" i="1"/>
  <c r="I207" i="1"/>
  <c r="H207" i="1"/>
  <c r="T207" i="1"/>
  <c r="Q208" i="1"/>
  <c r="B208" i="1"/>
  <c r="Y208" i="1"/>
  <c r="AB217" i="1"/>
  <c r="AD217" i="1" s="1"/>
  <c r="Z208" i="1"/>
  <c r="AA217" i="1"/>
  <c r="X207" i="1"/>
  <c r="W207" i="1"/>
  <c r="C209" i="1"/>
  <c r="R210" i="1"/>
  <c r="U206" i="1"/>
  <c r="V206" i="1"/>
  <c r="O206" i="1" l="1"/>
  <c r="P206" i="1"/>
  <c r="E206" i="1" s="1"/>
  <c r="D206" i="1"/>
  <c r="A206" i="1" s="1"/>
  <c r="X208" i="1"/>
  <c r="W208" i="1"/>
  <c r="U207" i="1"/>
  <c r="V207" i="1"/>
  <c r="C210" i="1"/>
  <c r="R211" i="1"/>
  <c r="B209" i="1"/>
  <c r="Q209" i="1"/>
  <c r="Y209" i="1"/>
  <c r="AB218" i="1"/>
  <c r="AD218" i="1" s="1"/>
  <c r="Z209" i="1"/>
  <c r="AA218" i="1"/>
  <c r="M208" i="1"/>
  <c r="I208" i="1"/>
  <c r="H208" i="1"/>
  <c r="J208" i="1" s="1"/>
  <c r="L208" i="1" s="1"/>
  <c r="T208" i="1"/>
  <c r="J207" i="1"/>
  <c r="L207" i="1" s="1"/>
  <c r="N207" i="1" s="1"/>
  <c r="AC217" i="1"/>
  <c r="AE217" i="1" s="1"/>
  <c r="N208" i="1" l="1"/>
  <c r="O208" i="1" s="1"/>
  <c r="C211" i="1"/>
  <c r="R212" i="1"/>
  <c r="B210" i="1"/>
  <c r="Q210" i="1"/>
  <c r="Y210" i="1"/>
  <c r="AB219" i="1"/>
  <c r="AD219" i="1" s="1"/>
  <c r="AA219" i="1"/>
  <c r="Z210" i="1"/>
  <c r="U208" i="1"/>
  <c r="V208" i="1"/>
  <c r="M209" i="1"/>
  <c r="I209" i="1"/>
  <c r="H209" i="1"/>
  <c r="J209" i="1" s="1"/>
  <c r="L209" i="1" s="1"/>
  <c r="T209" i="1"/>
  <c r="AC218" i="1"/>
  <c r="AE218" i="1" s="1"/>
  <c r="O207" i="1"/>
  <c r="P207" i="1"/>
  <c r="E207" i="1" s="1"/>
  <c r="S207" i="1"/>
  <c r="D207" i="1" s="1"/>
  <c r="A207" i="1" s="1"/>
  <c r="W209" i="1"/>
  <c r="X209" i="1"/>
  <c r="N209" i="1" l="1"/>
  <c r="P209" i="1" s="1"/>
  <c r="S208" i="1"/>
  <c r="D208" i="1" s="1"/>
  <c r="A208" i="1" s="1"/>
  <c r="P208" i="1"/>
  <c r="E208" i="1" s="1"/>
  <c r="X210" i="1"/>
  <c r="W210" i="1"/>
  <c r="I210" i="1"/>
  <c r="M210" i="1"/>
  <c r="H210" i="1"/>
  <c r="J210" i="1" s="1"/>
  <c r="L210" i="1" s="1"/>
  <c r="T210" i="1"/>
  <c r="V209" i="1"/>
  <c r="U209" i="1"/>
  <c r="AC219" i="1"/>
  <c r="AE219" i="1" s="1"/>
  <c r="C212" i="1"/>
  <c r="R213" i="1"/>
  <c r="B211" i="1"/>
  <c r="Q211" i="1"/>
  <c r="Y211" i="1"/>
  <c r="AB220" i="1"/>
  <c r="AD220" i="1" s="1"/>
  <c r="AA220" i="1"/>
  <c r="Z211" i="1"/>
  <c r="S209" i="1" l="1"/>
  <c r="D209" i="1" s="1"/>
  <c r="A209" i="1" s="1"/>
  <c r="O209" i="1"/>
  <c r="N210" i="1"/>
  <c r="P210" i="1" s="1"/>
  <c r="Q212" i="1"/>
  <c r="B212" i="1"/>
  <c r="Y212" i="1"/>
  <c r="AB221" i="1"/>
  <c r="AD221" i="1" s="1"/>
  <c r="AA221" i="1"/>
  <c r="Z212" i="1"/>
  <c r="I211" i="1"/>
  <c r="M211" i="1"/>
  <c r="H211" i="1"/>
  <c r="T211" i="1"/>
  <c r="C213" i="1"/>
  <c r="R214" i="1"/>
  <c r="U210" i="1"/>
  <c r="V210" i="1"/>
  <c r="E209" i="1"/>
  <c r="AC220" i="1"/>
  <c r="AE220" i="1" s="1"/>
  <c r="W211" i="1"/>
  <c r="X211" i="1"/>
  <c r="S210" i="1" l="1"/>
  <c r="D210" i="1" s="1"/>
  <c r="A210" i="1" s="1"/>
  <c r="O210" i="1"/>
  <c r="AC221" i="1"/>
  <c r="AE221" i="1" s="1"/>
  <c r="V212" i="1" s="1"/>
  <c r="V211" i="1"/>
  <c r="U211" i="1"/>
  <c r="B213" i="1"/>
  <c r="Q213" i="1"/>
  <c r="Y213" i="1"/>
  <c r="AB222" i="1"/>
  <c r="AD222" i="1" s="1"/>
  <c r="AA222" i="1"/>
  <c r="Z213" i="1"/>
  <c r="X212" i="1"/>
  <c r="W212" i="1"/>
  <c r="C214" i="1"/>
  <c r="R215" i="1"/>
  <c r="E210" i="1"/>
  <c r="J211" i="1"/>
  <c r="L211" i="1" s="1"/>
  <c r="N211" i="1" s="1"/>
  <c r="I212" i="1"/>
  <c r="M212" i="1"/>
  <c r="H212" i="1"/>
  <c r="T212" i="1"/>
  <c r="U212" i="1" l="1"/>
  <c r="X213" i="1"/>
  <c r="W213" i="1"/>
  <c r="S211" i="1"/>
  <c r="D211" i="1" s="1"/>
  <c r="A211" i="1" s="1"/>
  <c r="P211" i="1"/>
  <c r="E211" i="1" s="1"/>
  <c r="O211" i="1"/>
  <c r="R216" i="1"/>
  <c r="C215" i="1"/>
  <c r="M213" i="1"/>
  <c r="I213" i="1"/>
  <c r="H213" i="1"/>
  <c r="J213" i="1" s="1"/>
  <c r="L213" i="1" s="1"/>
  <c r="T213" i="1"/>
  <c r="B214" i="1"/>
  <c r="Q214" i="1"/>
  <c r="Y214" i="1"/>
  <c r="AB223" i="1"/>
  <c r="AD223" i="1" s="1"/>
  <c r="AA223" i="1"/>
  <c r="Z214" i="1"/>
  <c r="J212" i="1"/>
  <c r="L212" i="1" s="1"/>
  <c r="N212" i="1" s="1"/>
  <c r="AC222" i="1"/>
  <c r="AE222" i="1" s="1"/>
  <c r="U213" i="1" l="1"/>
  <c r="V213" i="1"/>
  <c r="M214" i="1"/>
  <c r="I214" i="1"/>
  <c r="H214" i="1"/>
  <c r="J214" i="1" s="1"/>
  <c r="L214" i="1" s="1"/>
  <c r="T214" i="1"/>
  <c r="B215" i="1"/>
  <c r="Q215" i="1"/>
  <c r="Y215" i="1"/>
  <c r="AB224" i="1"/>
  <c r="AD224" i="1" s="1"/>
  <c r="Z215" i="1"/>
  <c r="AA224" i="1"/>
  <c r="O212" i="1"/>
  <c r="S212" i="1"/>
  <c r="D212" i="1" s="1"/>
  <c r="A212" i="1" s="1"/>
  <c r="P212" i="1"/>
  <c r="E212" i="1" s="1"/>
  <c r="N213" i="1"/>
  <c r="W214" i="1"/>
  <c r="X214" i="1"/>
  <c r="C216" i="1"/>
  <c r="R217" i="1"/>
  <c r="AC223" i="1"/>
  <c r="AE223" i="1" s="1"/>
  <c r="N214" i="1" l="1"/>
  <c r="P214" i="1" s="1"/>
  <c r="O213" i="1"/>
  <c r="S213" i="1"/>
  <c r="D213" i="1" s="1"/>
  <c r="A213" i="1" s="1"/>
  <c r="P213" i="1"/>
  <c r="E213" i="1" s="1"/>
  <c r="I215" i="1"/>
  <c r="M215" i="1"/>
  <c r="H215" i="1"/>
  <c r="T215" i="1"/>
  <c r="C217" i="1"/>
  <c r="R218" i="1"/>
  <c r="V214" i="1"/>
  <c r="U214" i="1"/>
  <c r="AC224" i="1"/>
  <c r="AE224" i="1" s="1"/>
  <c r="B216" i="1"/>
  <c r="Q216" i="1"/>
  <c r="Y216" i="1"/>
  <c r="AB225" i="1"/>
  <c r="AD225" i="1" s="1"/>
  <c r="AA225" i="1"/>
  <c r="Z216" i="1"/>
  <c r="X215" i="1"/>
  <c r="W215" i="1"/>
  <c r="E214" i="1" l="1"/>
  <c r="S214" i="1"/>
  <c r="D214" i="1" s="1"/>
  <c r="A214" i="1" s="1"/>
  <c r="O214" i="1"/>
  <c r="AC225" i="1"/>
  <c r="AE225" i="1" s="1"/>
  <c r="V216" i="1" s="1"/>
  <c r="U215" i="1"/>
  <c r="V215" i="1"/>
  <c r="C218" i="1"/>
  <c r="R219" i="1"/>
  <c r="Q217" i="1"/>
  <c r="B217" i="1"/>
  <c r="Y217" i="1"/>
  <c r="AB226" i="1"/>
  <c r="AD226" i="1" s="1"/>
  <c r="AA226" i="1"/>
  <c r="Z217" i="1"/>
  <c r="X216" i="1"/>
  <c r="W216" i="1"/>
  <c r="M216" i="1"/>
  <c r="H216" i="1"/>
  <c r="J216" i="1" s="1"/>
  <c r="L216" i="1" s="1"/>
  <c r="I216" i="1"/>
  <c r="T216" i="1"/>
  <c r="J215" i="1"/>
  <c r="L215" i="1" s="1"/>
  <c r="N215" i="1" s="1"/>
  <c r="N216" i="1" l="1"/>
  <c r="P216" i="1" s="1"/>
  <c r="E216" i="1" s="1"/>
  <c r="AC226" i="1"/>
  <c r="AE226" i="1" s="1"/>
  <c r="U216" i="1"/>
  <c r="I217" i="1"/>
  <c r="H217" i="1"/>
  <c r="J217" i="1" s="1"/>
  <c r="L217" i="1" s="1"/>
  <c r="M217" i="1"/>
  <c r="T217" i="1"/>
  <c r="R220" i="1"/>
  <c r="C219" i="1"/>
  <c r="B218" i="1"/>
  <c r="Q218" i="1"/>
  <c r="Y218" i="1"/>
  <c r="AB227" i="1"/>
  <c r="AD227" i="1" s="1"/>
  <c r="Z218" i="1"/>
  <c r="AA227" i="1"/>
  <c r="O215" i="1"/>
  <c r="S215" i="1"/>
  <c r="D215" i="1" s="1"/>
  <c r="A215" i="1" s="1"/>
  <c r="P215" i="1"/>
  <c r="E215" i="1" s="1"/>
  <c r="W217" i="1"/>
  <c r="X217" i="1"/>
  <c r="O216" i="1" l="1"/>
  <c r="N217" i="1"/>
  <c r="O217" i="1" s="1"/>
  <c r="S216" i="1"/>
  <c r="D216" i="1" s="1"/>
  <c r="A216" i="1" s="1"/>
  <c r="U217" i="1"/>
  <c r="V217" i="1"/>
  <c r="AC227" i="1"/>
  <c r="AE227" i="1" s="1"/>
  <c r="Q219" i="1"/>
  <c r="B219" i="1"/>
  <c r="Y219" i="1"/>
  <c r="AB228" i="1"/>
  <c r="AD228" i="1" s="1"/>
  <c r="AA228" i="1"/>
  <c r="Z219" i="1"/>
  <c r="R221" i="1"/>
  <c r="C220" i="1"/>
  <c r="W218" i="1"/>
  <c r="X218" i="1"/>
  <c r="I218" i="1"/>
  <c r="M218" i="1"/>
  <c r="H218" i="1"/>
  <c r="J218" i="1" s="1"/>
  <c r="L218" i="1" s="1"/>
  <c r="T218" i="1"/>
  <c r="N218" i="1" l="1"/>
  <c r="O218" i="1" s="1"/>
  <c r="P217" i="1"/>
  <c r="E217" i="1" s="1"/>
  <c r="S217" i="1"/>
  <c r="D217" i="1" s="1"/>
  <c r="A217" i="1" s="1"/>
  <c r="W219" i="1"/>
  <c r="X219" i="1"/>
  <c r="M219" i="1"/>
  <c r="I219" i="1"/>
  <c r="H219" i="1"/>
  <c r="J219" i="1" s="1"/>
  <c r="L219" i="1" s="1"/>
  <c r="T219" i="1"/>
  <c r="U218" i="1"/>
  <c r="V218" i="1"/>
  <c r="B220" i="1"/>
  <c r="Q220" i="1"/>
  <c r="Y220" i="1"/>
  <c r="AB229" i="1"/>
  <c r="AD229" i="1" s="1"/>
  <c r="Z220" i="1"/>
  <c r="AA229" i="1"/>
  <c r="C221" i="1"/>
  <c r="R222" i="1"/>
  <c r="AC228" i="1"/>
  <c r="AE228" i="1" s="1"/>
  <c r="S218" i="1" l="1"/>
  <c r="P218" i="1"/>
  <c r="E218" i="1" s="1"/>
  <c r="N219" i="1"/>
  <c r="S219" i="1" s="1"/>
  <c r="AC229" i="1"/>
  <c r="AE229" i="1" s="1"/>
  <c r="V220" i="1" s="1"/>
  <c r="D218" i="1"/>
  <c r="A218" i="1" s="1"/>
  <c r="W220" i="1"/>
  <c r="X220" i="1"/>
  <c r="M220" i="1"/>
  <c r="I220" i="1"/>
  <c r="H220" i="1"/>
  <c r="J220" i="1" s="1"/>
  <c r="L220" i="1" s="1"/>
  <c r="T220" i="1"/>
  <c r="U219" i="1"/>
  <c r="V219" i="1"/>
  <c r="R223" i="1"/>
  <c r="C222" i="1"/>
  <c r="B221" i="1"/>
  <c r="Q221" i="1"/>
  <c r="Y221" i="1"/>
  <c r="AB230" i="1"/>
  <c r="AD230" i="1" s="1"/>
  <c r="Z221" i="1"/>
  <c r="AA230" i="1"/>
  <c r="P219" i="1" l="1"/>
  <c r="E219" i="1" s="1"/>
  <c r="N220" i="1"/>
  <c r="S220" i="1" s="1"/>
  <c r="O219" i="1"/>
  <c r="U220" i="1"/>
  <c r="AC230" i="1"/>
  <c r="AE230" i="1" s="1"/>
  <c r="V221" i="1" s="1"/>
  <c r="D219" i="1"/>
  <c r="A219" i="1" s="1"/>
  <c r="W221" i="1"/>
  <c r="X221" i="1"/>
  <c r="M221" i="1"/>
  <c r="I221" i="1"/>
  <c r="H221" i="1"/>
  <c r="J221" i="1" s="1"/>
  <c r="L221" i="1" s="1"/>
  <c r="T221" i="1"/>
  <c r="B222" i="1"/>
  <c r="Q222" i="1"/>
  <c r="Y222" i="1"/>
  <c r="AB231" i="1"/>
  <c r="AD231" i="1" s="1"/>
  <c r="Z222" i="1"/>
  <c r="AA231" i="1"/>
  <c r="C223" i="1"/>
  <c r="R224" i="1"/>
  <c r="N221" i="1" l="1"/>
  <c r="S221" i="1" s="1"/>
  <c r="P220" i="1"/>
  <c r="E220" i="1" s="1"/>
  <c r="O220" i="1"/>
  <c r="D220" i="1"/>
  <c r="A220" i="1" s="1"/>
  <c r="U221" i="1"/>
  <c r="AC231" i="1"/>
  <c r="AE231" i="1" s="1"/>
  <c r="P221" i="1"/>
  <c r="E221" i="1" s="1"/>
  <c r="O221" i="1"/>
  <c r="I222" i="1"/>
  <c r="M222" i="1"/>
  <c r="H222" i="1"/>
  <c r="J222" i="1" s="1"/>
  <c r="L222" i="1" s="1"/>
  <c r="T222" i="1"/>
  <c r="R225" i="1"/>
  <c r="C224" i="1"/>
  <c r="W222" i="1"/>
  <c r="X222" i="1"/>
  <c r="B223" i="1"/>
  <c r="Q223" i="1"/>
  <c r="Y223" i="1"/>
  <c r="AB232" i="1"/>
  <c r="AD232" i="1" s="1"/>
  <c r="Z223" i="1"/>
  <c r="AA232" i="1"/>
  <c r="N222" i="1" l="1"/>
  <c r="P222" i="1" s="1"/>
  <c r="D221" i="1"/>
  <c r="A221" i="1" s="1"/>
  <c r="I223" i="1"/>
  <c r="M223" i="1"/>
  <c r="H223" i="1"/>
  <c r="J223" i="1" s="1"/>
  <c r="L223" i="1" s="1"/>
  <c r="T223" i="1"/>
  <c r="X223" i="1"/>
  <c r="W223" i="1"/>
  <c r="Q224" i="1"/>
  <c r="B224" i="1"/>
  <c r="Y224" i="1"/>
  <c r="AB233" i="1"/>
  <c r="AD233" i="1" s="1"/>
  <c r="Z224" i="1"/>
  <c r="AA233" i="1"/>
  <c r="AC232" i="1"/>
  <c r="AE232" i="1" s="1"/>
  <c r="R226" i="1"/>
  <c r="C225" i="1"/>
  <c r="U222" i="1"/>
  <c r="V222" i="1"/>
  <c r="N223" i="1" l="1"/>
  <c r="O223" i="1" s="1"/>
  <c r="E222" i="1"/>
  <c r="O222" i="1"/>
  <c r="S222" i="1"/>
  <c r="D222" i="1" s="1"/>
  <c r="A222" i="1" s="1"/>
  <c r="AC233" i="1"/>
  <c r="AE233" i="1" s="1"/>
  <c r="V223" i="1"/>
  <c r="U223" i="1"/>
  <c r="B225" i="1"/>
  <c r="Q225" i="1"/>
  <c r="Y225" i="1"/>
  <c r="AB234" i="1"/>
  <c r="AD234" i="1" s="1"/>
  <c r="Z225" i="1"/>
  <c r="AA234" i="1"/>
  <c r="M224" i="1"/>
  <c r="I224" i="1"/>
  <c r="H224" i="1"/>
  <c r="J224" i="1" s="1"/>
  <c r="L224" i="1" s="1"/>
  <c r="T224" i="1"/>
  <c r="X224" i="1"/>
  <c r="W224" i="1"/>
  <c r="R227" i="1"/>
  <c r="C226" i="1"/>
  <c r="P223" i="1" l="1"/>
  <c r="E223" i="1" s="1"/>
  <c r="S223" i="1"/>
  <c r="D223" i="1" s="1"/>
  <c r="A223" i="1" s="1"/>
  <c r="N224" i="1"/>
  <c r="O224" i="1" s="1"/>
  <c r="U224" i="1"/>
  <c r="V224" i="1"/>
  <c r="Q226" i="1"/>
  <c r="B226" i="1"/>
  <c r="Y226" i="1"/>
  <c r="AB235" i="1"/>
  <c r="AD235" i="1" s="1"/>
  <c r="AA235" i="1"/>
  <c r="Z226" i="1"/>
  <c r="R228" i="1"/>
  <c r="C227" i="1"/>
  <c r="W225" i="1"/>
  <c r="X225" i="1"/>
  <c r="AC234" i="1"/>
  <c r="AE234" i="1" s="1"/>
  <c r="M225" i="1"/>
  <c r="I225" i="1"/>
  <c r="H225" i="1"/>
  <c r="J225" i="1" s="1"/>
  <c r="L225" i="1" s="1"/>
  <c r="T225" i="1"/>
  <c r="P224" i="1" l="1"/>
  <c r="N225" i="1"/>
  <c r="S225" i="1" s="1"/>
  <c r="S224" i="1"/>
  <c r="AC235" i="1"/>
  <c r="AE235" i="1" s="1"/>
  <c r="V226" i="1" s="1"/>
  <c r="X226" i="1"/>
  <c r="W226" i="1"/>
  <c r="M226" i="1"/>
  <c r="I226" i="1"/>
  <c r="H226" i="1"/>
  <c r="J226" i="1" s="1"/>
  <c r="L226" i="1" s="1"/>
  <c r="T226" i="1"/>
  <c r="B227" i="1"/>
  <c r="Q227" i="1"/>
  <c r="Y227" i="1"/>
  <c r="AB236" i="1"/>
  <c r="AD236" i="1" s="1"/>
  <c r="AA236" i="1"/>
  <c r="Z227" i="1"/>
  <c r="E224" i="1"/>
  <c r="U225" i="1"/>
  <c r="V225" i="1"/>
  <c r="C228" i="1"/>
  <c r="R229" i="1"/>
  <c r="D224" i="1"/>
  <c r="A224" i="1" s="1"/>
  <c r="P225" i="1" l="1"/>
  <c r="O225" i="1"/>
  <c r="N226" i="1"/>
  <c r="S226" i="1" s="1"/>
  <c r="E225" i="1"/>
  <c r="D225" i="1"/>
  <c r="A225" i="1" s="1"/>
  <c r="U226" i="1"/>
  <c r="X227" i="1"/>
  <c r="W227" i="1"/>
  <c r="Q228" i="1"/>
  <c r="B228" i="1"/>
  <c r="Y228" i="1"/>
  <c r="AB237" i="1"/>
  <c r="AD237" i="1" s="1"/>
  <c r="AA237" i="1"/>
  <c r="Z228" i="1"/>
  <c r="M227" i="1"/>
  <c r="I227" i="1"/>
  <c r="H227" i="1"/>
  <c r="J227" i="1" s="1"/>
  <c r="L227" i="1" s="1"/>
  <c r="T227" i="1"/>
  <c r="C229" i="1"/>
  <c r="R230" i="1"/>
  <c r="AC236" i="1"/>
  <c r="AE236" i="1" s="1"/>
  <c r="P226" i="1" l="1"/>
  <c r="E226" i="1" s="1"/>
  <c r="O226" i="1"/>
  <c r="N227" i="1"/>
  <c r="P227" i="1" s="1"/>
  <c r="D226" i="1"/>
  <c r="A226" i="1" s="1"/>
  <c r="AC237" i="1"/>
  <c r="AE237" i="1" s="1"/>
  <c r="U228" i="1" s="1"/>
  <c r="W228" i="1"/>
  <c r="X228" i="1"/>
  <c r="V227" i="1"/>
  <c r="U227" i="1"/>
  <c r="M228" i="1"/>
  <c r="H228" i="1"/>
  <c r="I228" i="1"/>
  <c r="T228" i="1"/>
  <c r="C230" i="1"/>
  <c r="R231" i="1"/>
  <c r="B229" i="1"/>
  <c r="Q229" i="1"/>
  <c r="Y229" i="1"/>
  <c r="AB238" i="1"/>
  <c r="AD238" i="1" s="1"/>
  <c r="AA238" i="1"/>
  <c r="Z229" i="1"/>
  <c r="S227" i="1" l="1"/>
  <c r="D227" i="1" s="1"/>
  <c r="A227" i="1" s="1"/>
  <c r="O227" i="1"/>
  <c r="AC238" i="1"/>
  <c r="AE238" i="1" s="1"/>
  <c r="U229" i="1" s="1"/>
  <c r="V228" i="1"/>
  <c r="C231" i="1"/>
  <c r="R232" i="1"/>
  <c r="Q230" i="1"/>
  <c r="B230" i="1"/>
  <c r="Y230" i="1"/>
  <c r="AB239" i="1"/>
  <c r="AD239" i="1" s="1"/>
  <c r="Z230" i="1"/>
  <c r="AA239" i="1"/>
  <c r="E227" i="1"/>
  <c r="X229" i="1"/>
  <c r="W229" i="1"/>
  <c r="I229" i="1"/>
  <c r="M229" i="1"/>
  <c r="H229" i="1"/>
  <c r="J229" i="1" s="1"/>
  <c r="L229" i="1" s="1"/>
  <c r="T229" i="1"/>
  <c r="J228" i="1"/>
  <c r="L228" i="1" s="1"/>
  <c r="N228" i="1" s="1"/>
  <c r="N229" i="1" l="1"/>
  <c r="O229" i="1" s="1"/>
  <c r="V229" i="1"/>
  <c r="AC239" i="1"/>
  <c r="AE239" i="1" s="1"/>
  <c r="W230" i="1"/>
  <c r="X230" i="1"/>
  <c r="I230" i="1"/>
  <c r="M230" i="1"/>
  <c r="H230" i="1"/>
  <c r="J230" i="1" s="1"/>
  <c r="L230" i="1" s="1"/>
  <c r="T230" i="1"/>
  <c r="R233" i="1"/>
  <c r="C232" i="1"/>
  <c r="P228" i="1"/>
  <c r="E228" i="1" s="1"/>
  <c r="O228" i="1"/>
  <c r="S228" i="1"/>
  <c r="D228" i="1" s="1"/>
  <c r="A228" i="1" s="1"/>
  <c r="Q231" i="1"/>
  <c r="B231" i="1"/>
  <c r="Y231" i="1"/>
  <c r="AB240" i="1"/>
  <c r="AD240" i="1" s="1"/>
  <c r="AA240" i="1"/>
  <c r="Z231" i="1"/>
  <c r="N230" i="1" l="1"/>
  <c r="O230" i="1" s="1"/>
  <c r="S229" i="1"/>
  <c r="D229" i="1" s="1"/>
  <c r="A229" i="1" s="1"/>
  <c r="P229" i="1"/>
  <c r="E229" i="1" s="1"/>
  <c r="AC240" i="1"/>
  <c r="AE240" i="1" s="1"/>
  <c r="V231" i="1" s="1"/>
  <c r="X231" i="1"/>
  <c r="W231" i="1"/>
  <c r="C233" i="1"/>
  <c r="R234" i="1"/>
  <c r="S230" i="1"/>
  <c r="B232" i="1"/>
  <c r="Q232" i="1"/>
  <c r="Y232" i="1"/>
  <c r="AB241" i="1"/>
  <c r="AD241" i="1" s="1"/>
  <c r="Z232" i="1"/>
  <c r="AA241" i="1"/>
  <c r="I231" i="1"/>
  <c r="M231" i="1"/>
  <c r="H231" i="1"/>
  <c r="T231" i="1"/>
  <c r="U230" i="1"/>
  <c r="V230" i="1"/>
  <c r="P230" i="1" l="1"/>
  <c r="D230" i="1"/>
  <c r="A230" i="1" s="1"/>
  <c r="U231" i="1"/>
  <c r="E230" i="1"/>
  <c r="AC241" i="1"/>
  <c r="AE241" i="1" s="1"/>
  <c r="R235" i="1"/>
  <c r="C234" i="1"/>
  <c r="Q233" i="1"/>
  <c r="B233" i="1"/>
  <c r="Y233" i="1"/>
  <c r="AB242" i="1"/>
  <c r="AD242" i="1" s="1"/>
  <c r="Z233" i="1"/>
  <c r="AA242" i="1"/>
  <c r="X232" i="1"/>
  <c r="W232" i="1"/>
  <c r="J231" i="1"/>
  <c r="L231" i="1" s="1"/>
  <c r="N231" i="1" s="1"/>
  <c r="I232" i="1"/>
  <c r="M232" i="1"/>
  <c r="H232" i="1"/>
  <c r="J232" i="1" s="1"/>
  <c r="L232" i="1" s="1"/>
  <c r="T232" i="1"/>
  <c r="N232" i="1" l="1"/>
  <c r="S232" i="1" s="1"/>
  <c r="S231" i="1"/>
  <c r="D231" i="1" s="1"/>
  <c r="A231" i="1" s="1"/>
  <c r="P231" i="1"/>
  <c r="E231" i="1" s="1"/>
  <c r="O231" i="1"/>
  <c r="I233" i="1"/>
  <c r="H233" i="1"/>
  <c r="J233" i="1" s="1"/>
  <c r="L233" i="1" s="1"/>
  <c r="M233" i="1"/>
  <c r="T233" i="1"/>
  <c r="O232" i="1"/>
  <c r="B234" i="1"/>
  <c r="Q234" i="1"/>
  <c r="Y234" i="1"/>
  <c r="AB243" i="1"/>
  <c r="AD243" i="1" s="1"/>
  <c r="AA243" i="1"/>
  <c r="Z234" i="1"/>
  <c r="X233" i="1"/>
  <c r="W233" i="1"/>
  <c r="R236" i="1"/>
  <c r="C235" i="1"/>
  <c r="V232" i="1"/>
  <c r="U232" i="1"/>
  <c r="AC242" i="1"/>
  <c r="AE242" i="1" s="1"/>
  <c r="P232" i="1" l="1"/>
  <c r="N233" i="1"/>
  <c r="P233" i="1" s="1"/>
  <c r="AC243" i="1"/>
  <c r="AE243" i="1" s="1"/>
  <c r="V234" i="1" s="1"/>
  <c r="D232" i="1"/>
  <c r="A232" i="1" s="1"/>
  <c r="E232" i="1"/>
  <c r="U233" i="1"/>
  <c r="V233" i="1"/>
  <c r="W234" i="1"/>
  <c r="X234" i="1"/>
  <c r="B235" i="1"/>
  <c r="Q235" i="1"/>
  <c r="Y235" i="1"/>
  <c r="AB244" i="1"/>
  <c r="AD244" i="1" s="1"/>
  <c r="Z235" i="1"/>
  <c r="AA244" i="1"/>
  <c r="M234" i="1"/>
  <c r="I234" i="1"/>
  <c r="H234" i="1"/>
  <c r="J234" i="1" s="1"/>
  <c r="L234" i="1" s="1"/>
  <c r="T234" i="1"/>
  <c r="R237" i="1"/>
  <c r="C236" i="1"/>
  <c r="E233" i="1" l="1"/>
  <c r="O233" i="1"/>
  <c r="N234" i="1"/>
  <c r="S234" i="1" s="1"/>
  <c r="S233" i="1"/>
  <c r="D233" i="1" s="1"/>
  <c r="A233" i="1" s="1"/>
  <c r="U234" i="1"/>
  <c r="AC244" i="1"/>
  <c r="AE244" i="1" s="1"/>
  <c r="X235" i="1"/>
  <c r="W235" i="1"/>
  <c r="Q236" i="1"/>
  <c r="B236" i="1"/>
  <c r="Y236" i="1"/>
  <c r="AB245" i="1"/>
  <c r="AD245" i="1" s="1"/>
  <c r="Z236" i="1"/>
  <c r="AA245" i="1"/>
  <c r="R238" i="1"/>
  <c r="C237" i="1"/>
  <c r="M235" i="1"/>
  <c r="I235" i="1"/>
  <c r="H235" i="1"/>
  <c r="J235" i="1" s="1"/>
  <c r="L235" i="1" s="1"/>
  <c r="T235" i="1"/>
  <c r="N235" i="1" l="1"/>
  <c r="O235" i="1" s="1"/>
  <c r="O234" i="1"/>
  <c r="P234" i="1"/>
  <c r="E234" i="1" s="1"/>
  <c r="D234" i="1"/>
  <c r="A234" i="1" s="1"/>
  <c r="M236" i="1"/>
  <c r="I236" i="1"/>
  <c r="H236" i="1"/>
  <c r="J236" i="1" s="1"/>
  <c r="L236" i="1" s="1"/>
  <c r="T236" i="1"/>
  <c r="B237" i="1"/>
  <c r="Q237" i="1"/>
  <c r="Y237" i="1"/>
  <c r="AB246" i="1"/>
  <c r="AD246" i="1" s="1"/>
  <c r="Z237" i="1"/>
  <c r="AA246" i="1"/>
  <c r="R239" i="1"/>
  <c r="C238" i="1"/>
  <c r="AC245" i="1"/>
  <c r="AE245" i="1" s="1"/>
  <c r="X236" i="1"/>
  <c r="W236" i="1"/>
  <c r="U235" i="1"/>
  <c r="V235" i="1"/>
  <c r="P235" i="1" l="1"/>
  <c r="S235" i="1"/>
  <c r="D235" i="1" s="1"/>
  <c r="A235" i="1" s="1"/>
  <c r="N236" i="1"/>
  <c r="P236" i="1" s="1"/>
  <c r="E235" i="1"/>
  <c r="V236" i="1"/>
  <c r="U236" i="1"/>
  <c r="Q238" i="1"/>
  <c r="B238" i="1"/>
  <c r="Y238" i="1"/>
  <c r="AB247" i="1"/>
  <c r="AD247" i="1" s="1"/>
  <c r="AA247" i="1"/>
  <c r="Z238" i="1"/>
  <c r="R240" i="1"/>
  <c r="C239" i="1"/>
  <c r="AC246" i="1"/>
  <c r="AE246" i="1" s="1"/>
  <c r="W237" i="1"/>
  <c r="X237" i="1"/>
  <c r="M237" i="1"/>
  <c r="I237" i="1"/>
  <c r="H237" i="1"/>
  <c r="J237" i="1" s="1"/>
  <c r="L237" i="1" s="1"/>
  <c r="T237" i="1"/>
  <c r="S236" i="1" l="1"/>
  <c r="N237" i="1"/>
  <c r="P237" i="1" s="1"/>
  <c r="O236" i="1"/>
  <c r="E236" i="1"/>
  <c r="D236" i="1"/>
  <c r="A236" i="1" s="1"/>
  <c r="AC247" i="1"/>
  <c r="AE247" i="1" s="1"/>
  <c r="V238" i="1" s="1"/>
  <c r="X238" i="1"/>
  <c r="W238" i="1"/>
  <c r="V237" i="1"/>
  <c r="U237" i="1"/>
  <c r="M238" i="1"/>
  <c r="I238" i="1"/>
  <c r="H238" i="1"/>
  <c r="J238" i="1" s="1"/>
  <c r="L238" i="1" s="1"/>
  <c r="T238" i="1"/>
  <c r="Q239" i="1"/>
  <c r="B239" i="1"/>
  <c r="Y239" i="1"/>
  <c r="AB248" i="1"/>
  <c r="AD248" i="1" s="1"/>
  <c r="AA248" i="1"/>
  <c r="Z239" i="1"/>
  <c r="C240" i="1"/>
  <c r="R241" i="1"/>
  <c r="O237" i="1" l="1"/>
  <c r="N238" i="1"/>
  <c r="S238" i="1" s="1"/>
  <c r="E237" i="1"/>
  <c r="S237" i="1"/>
  <c r="D237" i="1" s="1"/>
  <c r="A237" i="1" s="1"/>
  <c r="U238" i="1"/>
  <c r="B240" i="1"/>
  <c r="Q240" i="1"/>
  <c r="Y240" i="1"/>
  <c r="AB249" i="1"/>
  <c r="AD249" i="1" s="1"/>
  <c r="Z240" i="1"/>
  <c r="AA249" i="1"/>
  <c r="X239" i="1"/>
  <c r="W239" i="1"/>
  <c r="M239" i="1"/>
  <c r="I239" i="1"/>
  <c r="H239" i="1"/>
  <c r="J239" i="1" s="1"/>
  <c r="L239" i="1" s="1"/>
  <c r="T239" i="1"/>
  <c r="R242" i="1"/>
  <c r="C241" i="1"/>
  <c r="AC248" i="1"/>
  <c r="AE248" i="1" s="1"/>
  <c r="P238" i="1" l="1"/>
  <c r="E238" i="1" s="1"/>
  <c r="O238" i="1"/>
  <c r="N239" i="1"/>
  <c r="O239" i="1" s="1"/>
  <c r="D238" i="1"/>
  <c r="A238" i="1" s="1"/>
  <c r="AC249" i="1"/>
  <c r="AE249" i="1" s="1"/>
  <c r="U240" i="1" s="1"/>
  <c r="Q241" i="1"/>
  <c r="B241" i="1"/>
  <c r="Y241" i="1"/>
  <c r="AB250" i="1"/>
  <c r="AD250" i="1" s="1"/>
  <c r="Z241" i="1"/>
  <c r="AA250" i="1"/>
  <c r="R243" i="1"/>
  <c r="C242" i="1"/>
  <c r="W240" i="1"/>
  <c r="X240" i="1"/>
  <c r="I240" i="1"/>
  <c r="M240" i="1"/>
  <c r="H240" i="1"/>
  <c r="T240" i="1"/>
  <c r="U239" i="1"/>
  <c r="V239" i="1"/>
  <c r="P239" i="1" l="1"/>
  <c r="E239" i="1" s="1"/>
  <c r="S239" i="1"/>
  <c r="AC250" i="1"/>
  <c r="AE250" i="1" s="1"/>
  <c r="U241" i="1" s="1"/>
  <c r="V240" i="1"/>
  <c r="D239" i="1"/>
  <c r="A239" i="1" s="1"/>
  <c r="B242" i="1"/>
  <c r="Q242" i="1"/>
  <c r="Y242" i="1"/>
  <c r="AB251" i="1"/>
  <c r="AD251" i="1" s="1"/>
  <c r="Z242" i="1"/>
  <c r="AA251" i="1"/>
  <c r="R244" i="1"/>
  <c r="C243" i="1"/>
  <c r="X241" i="1"/>
  <c r="W241" i="1"/>
  <c r="J240" i="1"/>
  <c r="L240" i="1" s="1"/>
  <c r="N240" i="1" s="1"/>
  <c r="M241" i="1"/>
  <c r="I241" i="1"/>
  <c r="H241" i="1"/>
  <c r="J241" i="1" s="1"/>
  <c r="L241" i="1" s="1"/>
  <c r="T241" i="1"/>
  <c r="N241" i="1" l="1"/>
  <c r="S241" i="1" s="1"/>
  <c r="D241" i="1" s="1"/>
  <c r="A241" i="1" s="1"/>
  <c r="AC251" i="1"/>
  <c r="AE251" i="1" s="1"/>
  <c r="V242" i="1" s="1"/>
  <c r="V241" i="1"/>
  <c r="B243" i="1"/>
  <c r="Q243" i="1"/>
  <c r="Y243" i="1"/>
  <c r="AB252" i="1"/>
  <c r="AD252" i="1" s="1"/>
  <c r="Z243" i="1"/>
  <c r="AA252" i="1"/>
  <c r="C244" i="1"/>
  <c r="R245" i="1"/>
  <c r="S240" i="1"/>
  <c r="D240" i="1" s="1"/>
  <c r="A240" i="1" s="1"/>
  <c r="O240" i="1"/>
  <c r="P240" i="1"/>
  <c r="E240" i="1" s="1"/>
  <c r="X242" i="1"/>
  <c r="W242" i="1"/>
  <c r="P241" i="1"/>
  <c r="O241" i="1"/>
  <c r="I242" i="1"/>
  <c r="M242" i="1"/>
  <c r="H242" i="1"/>
  <c r="J242" i="1" s="1"/>
  <c r="L242" i="1" s="1"/>
  <c r="T242" i="1"/>
  <c r="N242" i="1" l="1"/>
  <c r="P242" i="1" s="1"/>
  <c r="E242" i="1" s="1"/>
  <c r="E241" i="1"/>
  <c r="U242" i="1"/>
  <c r="AC252" i="1"/>
  <c r="AE252" i="1" s="1"/>
  <c r="X243" i="1"/>
  <c r="W243" i="1"/>
  <c r="C245" i="1"/>
  <c r="R246" i="1"/>
  <c r="M243" i="1"/>
  <c r="I243" i="1"/>
  <c r="H243" i="1"/>
  <c r="J243" i="1" s="1"/>
  <c r="L243" i="1" s="1"/>
  <c r="T243" i="1"/>
  <c r="Q244" i="1"/>
  <c r="B244" i="1"/>
  <c r="Y244" i="1"/>
  <c r="AB253" i="1"/>
  <c r="AD253" i="1" s="1"/>
  <c r="Z244" i="1"/>
  <c r="AA253" i="1"/>
  <c r="N243" i="1" l="1"/>
  <c r="O243" i="1" s="1"/>
  <c r="O242" i="1"/>
  <c r="S242" i="1"/>
  <c r="D242" i="1" s="1"/>
  <c r="A242" i="1" s="1"/>
  <c r="W244" i="1"/>
  <c r="X244" i="1"/>
  <c r="Q245" i="1"/>
  <c r="B245" i="1"/>
  <c r="Y245" i="1"/>
  <c r="AB254" i="1"/>
  <c r="AD254" i="1" s="1"/>
  <c r="Z245" i="1"/>
  <c r="AA254" i="1"/>
  <c r="C246" i="1"/>
  <c r="R247" i="1"/>
  <c r="I244" i="1"/>
  <c r="M244" i="1"/>
  <c r="H244" i="1"/>
  <c r="J244" i="1" s="1"/>
  <c r="L244" i="1" s="1"/>
  <c r="T244" i="1"/>
  <c r="U243" i="1"/>
  <c r="V243" i="1"/>
  <c r="AC253" i="1"/>
  <c r="AE253" i="1" s="1"/>
  <c r="N244" i="1" l="1"/>
  <c r="S244" i="1" s="1"/>
  <c r="S243" i="1"/>
  <c r="D243" i="1" s="1"/>
  <c r="A243" i="1" s="1"/>
  <c r="P243" i="1"/>
  <c r="E243" i="1" s="1"/>
  <c r="AC254" i="1"/>
  <c r="AE254" i="1" s="1"/>
  <c r="W245" i="1"/>
  <c r="X245" i="1"/>
  <c r="M245" i="1"/>
  <c r="I245" i="1"/>
  <c r="H245" i="1"/>
  <c r="J245" i="1" s="1"/>
  <c r="L245" i="1" s="1"/>
  <c r="T245" i="1"/>
  <c r="V244" i="1"/>
  <c r="U244" i="1"/>
  <c r="C247" i="1"/>
  <c r="R248" i="1"/>
  <c r="Q246" i="1"/>
  <c r="B246" i="1"/>
  <c r="Y246" i="1"/>
  <c r="AB255" i="1"/>
  <c r="AD255" i="1" s="1"/>
  <c r="AA255" i="1"/>
  <c r="Z246" i="1"/>
  <c r="O244" i="1" l="1"/>
  <c r="P244" i="1"/>
  <c r="N245" i="1"/>
  <c r="O245" i="1" s="1"/>
  <c r="X246" i="1"/>
  <c r="W246" i="1"/>
  <c r="I246" i="1"/>
  <c r="M246" i="1"/>
  <c r="H246" i="1"/>
  <c r="J246" i="1" s="1"/>
  <c r="L246" i="1" s="1"/>
  <c r="T246" i="1"/>
  <c r="C248" i="1"/>
  <c r="R249" i="1"/>
  <c r="Q247" i="1"/>
  <c r="B247" i="1"/>
  <c r="Y247" i="1"/>
  <c r="AB256" i="1"/>
  <c r="AD256" i="1" s="1"/>
  <c r="Z247" i="1"/>
  <c r="AA256" i="1"/>
  <c r="AC255" i="1"/>
  <c r="AE255" i="1" s="1"/>
  <c r="D244" i="1"/>
  <c r="A244" i="1" s="1"/>
  <c r="E244" i="1"/>
  <c r="U245" i="1"/>
  <c r="V245" i="1"/>
  <c r="N246" i="1" l="1"/>
  <c r="P246" i="1" s="1"/>
  <c r="S245" i="1"/>
  <c r="P245" i="1"/>
  <c r="AC256" i="1"/>
  <c r="AE256" i="1" s="1"/>
  <c r="U247" i="1" s="1"/>
  <c r="E245" i="1"/>
  <c r="W247" i="1"/>
  <c r="X247" i="1"/>
  <c r="D245" i="1"/>
  <c r="A245" i="1" s="1"/>
  <c r="I247" i="1"/>
  <c r="M247" i="1"/>
  <c r="H247" i="1"/>
  <c r="T247" i="1"/>
  <c r="R250" i="1"/>
  <c r="C249" i="1"/>
  <c r="U246" i="1"/>
  <c r="V246" i="1"/>
  <c r="B248" i="1"/>
  <c r="Q248" i="1"/>
  <c r="Y248" i="1"/>
  <c r="AB257" i="1"/>
  <c r="AD257" i="1" s="1"/>
  <c r="Z248" i="1"/>
  <c r="AA257" i="1"/>
  <c r="S246" i="1" l="1"/>
  <c r="D246" i="1" s="1"/>
  <c r="A246" i="1" s="1"/>
  <c r="O246" i="1"/>
  <c r="E246" i="1"/>
  <c r="V247" i="1"/>
  <c r="X248" i="1"/>
  <c r="W248" i="1"/>
  <c r="I248" i="1"/>
  <c r="M248" i="1"/>
  <c r="H248" i="1"/>
  <c r="J248" i="1" s="1"/>
  <c r="L248" i="1" s="1"/>
  <c r="T248" i="1"/>
  <c r="B249" i="1"/>
  <c r="Q249" i="1"/>
  <c r="Y249" i="1"/>
  <c r="AB258" i="1"/>
  <c r="AD258" i="1" s="1"/>
  <c r="AA258" i="1"/>
  <c r="Z249" i="1"/>
  <c r="AC257" i="1"/>
  <c r="AE257" i="1" s="1"/>
  <c r="R251" i="1"/>
  <c r="C250" i="1"/>
  <c r="J247" i="1"/>
  <c r="L247" i="1" s="1"/>
  <c r="N247" i="1" s="1"/>
  <c r="N248" i="1" l="1"/>
  <c r="P248" i="1" s="1"/>
  <c r="AC258" i="1"/>
  <c r="AE258" i="1" s="1"/>
  <c r="U249" i="1" s="1"/>
  <c r="V248" i="1"/>
  <c r="U248" i="1"/>
  <c r="R252" i="1"/>
  <c r="C251" i="1"/>
  <c r="W249" i="1"/>
  <c r="X249" i="1"/>
  <c r="P247" i="1"/>
  <c r="E247" i="1" s="1"/>
  <c r="O247" i="1"/>
  <c r="S247" i="1"/>
  <c r="D247" i="1" s="1"/>
  <c r="A247" i="1" s="1"/>
  <c r="B250" i="1"/>
  <c r="Q250" i="1"/>
  <c r="Y250" i="1"/>
  <c r="AB259" i="1"/>
  <c r="AD259" i="1" s="1"/>
  <c r="AA259" i="1"/>
  <c r="Z250" i="1"/>
  <c r="M249" i="1"/>
  <c r="I249" i="1"/>
  <c r="H249" i="1"/>
  <c r="T249" i="1"/>
  <c r="S248" i="1" l="1"/>
  <c r="O248" i="1"/>
  <c r="V249" i="1"/>
  <c r="J249" i="1"/>
  <c r="L249" i="1" s="1"/>
  <c r="N249" i="1" s="1"/>
  <c r="B251" i="1"/>
  <c r="Q251" i="1"/>
  <c r="Y251" i="1"/>
  <c r="AB260" i="1"/>
  <c r="AD260" i="1" s="1"/>
  <c r="AA260" i="1"/>
  <c r="Z251" i="1"/>
  <c r="C252" i="1"/>
  <c r="R253" i="1"/>
  <c r="I250" i="1"/>
  <c r="M250" i="1"/>
  <c r="H250" i="1"/>
  <c r="J250" i="1" s="1"/>
  <c r="L250" i="1" s="1"/>
  <c r="T250" i="1"/>
  <c r="AC259" i="1"/>
  <c r="AE259" i="1" s="1"/>
  <c r="D248" i="1"/>
  <c r="A248" i="1" s="1"/>
  <c r="X250" i="1"/>
  <c r="W250" i="1"/>
  <c r="E248" i="1"/>
  <c r="N250" i="1" l="1"/>
  <c r="P250" i="1" s="1"/>
  <c r="C253" i="1"/>
  <c r="R254" i="1"/>
  <c r="Q252" i="1"/>
  <c r="B252" i="1"/>
  <c r="Y252" i="1"/>
  <c r="AB261" i="1"/>
  <c r="AD261" i="1" s="1"/>
  <c r="Z252" i="1"/>
  <c r="AA261" i="1"/>
  <c r="AC260" i="1"/>
  <c r="AE260" i="1" s="1"/>
  <c r="V250" i="1"/>
  <c r="U250" i="1"/>
  <c r="W251" i="1"/>
  <c r="X251" i="1"/>
  <c r="M251" i="1"/>
  <c r="I251" i="1"/>
  <c r="H251" i="1"/>
  <c r="J251" i="1" s="1"/>
  <c r="L251" i="1" s="1"/>
  <c r="T251" i="1"/>
  <c r="S249" i="1"/>
  <c r="D249" i="1" s="1"/>
  <c r="A249" i="1" s="1"/>
  <c r="O249" i="1"/>
  <c r="P249" i="1"/>
  <c r="E249" i="1" s="1"/>
  <c r="S250" i="1" l="1"/>
  <c r="O250" i="1"/>
  <c r="N251" i="1"/>
  <c r="S251" i="1" s="1"/>
  <c r="AC261" i="1"/>
  <c r="AE261" i="1" s="1"/>
  <c r="X252" i="1"/>
  <c r="W252" i="1"/>
  <c r="D250" i="1"/>
  <c r="A250" i="1" s="1"/>
  <c r="M252" i="1"/>
  <c r="I252" i="1"/>
  <c r="H252" i="1"/>
  <c r="T252" i="1"/>
  <c r="E250" i="1"/>
  <c r="C254" i="1"/>
  <c r="R255" i="1"/>
  <c r="V251" i="1"/>
  <c r="U251" i="1"/>
  <c r="B253" i="1"/>
  <c r="Q253" i="1"/>
  <c r="Y253" i="1"/>
  <c r="AB262" i="1"/>
  <c r="AD262" i="1" s="1"/>
  <c r="AA262" i="1"/>
  <c r="Z253" i="1"/>
  <c r="P251" i="1" l="1"/>
  <c r="E251" i="1" s="1"/>
  <c r="O251" i="1"/>
  <c r="D251" i="1"/>
  <c r="A251" i="1" s="1"/>
  <c r="AC262" i="1"/>
  <c r="AE262" i="1" s="1"/>
  <c r="R256" i="1"/>
  <c r="C255" i="1"/>
  <c r="Q254" i="1"/>
  <c r="B254" i="1"/>
  <c r="Y254" i="1"/>
  <c r="AB263" i="1"/>
  <c r="AD263" i="1" s="1"/>
  <c r="AA263" i="1"/>
  <c r="Z254" i="1"/>
  <c r="X253" i="1"/>
  <c r="W253" i="1"/>
  <c r="I253" i="1"/>
  <c r="M253" i="1"/>
  <c r="H253" i="1"/>
  <c r="J253" i="1" s="1"/>
  <c r="L253" i="1" s="1"/>
  <c r="T253" i="1"/>
  <c r="J252" i="1"/>
  <c r="L252" i="1" s="1"/>
  <c r="N252" i="1" s="1"/>
  <c r="U252" i="1"/>
  <c r="V252" i="1"/>
  <c r="N253" i="1" l="1"/>
  <c r="S253" i="1" s="1"/>
  <c r="AC263" i="1"/>
  <c r="AE263" i="1" s="1"/>
  <c r="U254" i="1" s="1"/>
  <c r="W254" i="1"/>
  <c r="X254" i="1"/>
  <c r="I254" i="1"/>
  <c r="M254" i="1"/>
  <c r="H254" i="1"/>
  <c r="T254" i="1"/>
  <c r="B255" i="1"/>
  <c r="Q255" i="1"/>
  <c r="Y255" i="1"/>
  <c r="AB264" i="1"/>
  <c r="AD264" i="1" s="1"/>
  <c r="AA264" i="1"/>
  <c r="Z255" i="1"/>
  <c r="P252" i="1"/>
  <c r="E252" i="1" s="1"/>
  <c r="S252" i="1"/>
  <c r="D252" i="1" s="1"/>
  <c r="A252" i="1" s="1"/>
  <c r="O252" i="1"/>
  <c r="C256" i="1"/>
  <c r="R257" i="1"/>
  <c r="U253" i="1"/>
  <c r="V253" i="1"/>
  <c r="O253" i="1" l="1"/>
  <c r="P253" i="1"/>
  <c r="E253" i="1" s="1"/>
  <c r="D253" i="1"/>
  <c r="A253" i="1" s="1"/>
  <c r="V254" i="1"/>
  <c r="AC264" i="1"/>
  <c r="AE264" i="1" s="1"/>
  <c r="R258" i="1"/>
  <c r="C257" i="1"/>
  <c r="W255" i="1"/>
  <c r="X255" i="1"/>
  <c r="M255" i="1"/>
  <c r="I255" i="1"/>
  <c r="H255" i="1"/>
  <c r="J255" i="1" s="1"/>
  <c r="L255" i="1" s="1"/>
  <c r="T255" i="1"/>
  <c r="B256" i="1"/>
  <c r="Q256" i="1"/>
  <c r="Y256" i="1"/>
  <c r="AB265" i="1"/>
  <c r="AD265" i="1" s="1"/>
  <c r="AA265" i="1"/>
  <c r="Z256" i="1"/>
  <c r="J254" i="1"/>
  <c r="L254" i="1" s="1"/>
  <c r="N254" i="1" s="1"/>
  <c r="N255" i="1" l="1"/>
  <c r="P255" i="1" s="1"/>
  <c r="AC265" i="1"/>
  <c r="AE265" i="1" s="1"/>
  <c r="V256" i="1" s="1"/>
  <c r="X256" i="1"/>
  <c r="W256" i="1"/>
  <c r="I256" i="1"/>
  <c r="M256" i="1"/>
  <c r="H256" i="1"/>
  <c r="T256" i="1"/>
  <c r="B257" i="1"/>
  <c r="Q257" i="1"/>
  <c r="Y257" i="1"/>
  <c r="AB266" i="1"/>
  <c r="AD266" i="1" s="1"/>
  <c r="AA266" i="1"/>
  <c r="Z257" i="1"/>
  <c r="O254" i="1"/>
  <c r="S254" i="1"/>
  <c r="D254" i="1" s="1"/>
  <c r="A254" i="1" s="1"/>
  <c r="P254" i="1"/>
  <c r="E254" i="1" s="1"/>
  <c r="R259" i="1"/>
  <c r="C258" i="1"/>
  <c r="V255" i="1"/>
  <c r="U255" i="1"/>
  <c r="O255" i="1" l="1"/>
  <c r="S255" i="1"/>
  <c r="D255" i="1" s="1"/>
  <c r="A255" i="1" s="1"/>
  <c r="U256" i="1"/>
  <c r="E255" i="1"/>
  <c r="Q258" i="1"/>
  <c r="B258" i="1"/>
  <c r="Y258" i="1"/>
  <c r="AB267" i="1"/>
  <c r="AD267" i="1" s="1"/>
  <c r="AA267" i="1"/>
  <c r="Z258" i="1"/>
  <c r="R260" i="1"/>
  <c r="C259" i="1"/>
  <c r="M257" i="1"/>
  <c r="I257" i="1"/>
  <c r="H257" i="1"/>
  <c r="J257" i="1" s="1"/>
  <c r="L257" i="1" s="1"/>
  <c r="T257" i="1"/>
  <c r="W257" i="1"/>
  <c r="X257" i="1"/>
  <c r="J256" i="1"/>
  <c r="L256" i="1" s="1"/>
  <c r="N256" i="1" s="1"/>
  <c r="AC266" i="1"/>
  <c r="AE266" i="1" s="1"/>
  <c r="N257" i="1" l="1"/>
  <c r="P257" i="1" s="1"/>
  <c r="AC267" i="1"/>
  <c r="AE267" i="1" s="1"/>
  <c r="V258" i="1" s="1"/>
  <c r="X258" i="1"/>
  <c r="W258" i="1"/>
  <c r="I258" i="1"/>
  <c r="M258" i="1"/>
  <c r="H258" i="1"/>
  <c r="T258" i="1"/>
  <c r="V257" i="1"/>
  <c r="U257" i="1"/>
  <c r="Q259" i="1"/>
  <c r="B259" i="1"/>
  <c r="Y259" i="1"/>
  <c r="AB268" i="1"/>
  <c r="AD268" i="1" s="1"/>
  <c r="Z259" i="1"/>
  <c r="AA268" i="1"/>
  <c r="S256" i="1"/>
  <c r="D256" i="1" s="1"/>
  <c r="A256" i="1" s="1"/>
  <c r="P256" i="1"/>
  <c r="E256" i="1" s="1"/>
  <c r="O256" i="1"/>
  <c r="C260" i="1"/>
  <c r="R261" i="1"/>
  <c r="O257" i="1" l="1"/>
  <c r="S257" i="1"/>
  <c r="D257" i="1" s="1"/>
  <c r="A257" i="1" s="1"/>
  <c r="E257" i="1"/>
  <c r="AC268" i="1"/>
  <c r="AE268" i="1" s="1"/>
  <c r="U259" i="1" s="1"/>
  <c r="U258" i="1"/>
  <c r="Q260" i="1"/>
  <c r="B260" i="1"/>
  <c r="Y260" i="1"/>
  <c r="AB269" i="1"/>
  <c r="AD269" i="1" s="1"/>
  <c r="AA269" i="1"/>
  <c r="Z260" i="1"/>
  <c r="X259" i="1"/>
  <c r="W259" i="1"/>
  <c r="M259" i="1"/>
  <c r="I259" i="1"/>
  <c r="H259" i="1"/>
  <c r="J259" i="1" s="1"/>
  <c r="L259" i="1" s="1"/>
  <c r="T259" i="1"/>
  <c r="R262" i="1"/>
  <c r="C261" i="1"/>
  <c r="J258" i="1"/>
  <c r="L258" i="1" s="1"/>
  <c r="N258" i="1" s="1"/>
  <c r="N259" i="1" l="1"/>
  <c r="O259" i="1" s="1"/>
  <c r="V259" i="1"/>
  <c r="AC269" i="1"/>
  <c r="AE269" i="1" s="1"/>
  <c r="U260" i="1" s="1"/>
  <c r="B261" i="1"/>
  <c r="Q261" i="1"/>
  <c r="Y261" i="1"/>
  <c r="AB270" i="1"/>
  <c r="AD270" i="1" s="1"/>
  <c r="AA270" i="1"/>
  <c r="Z261" i="1"/>
  <c r="R263" i="1"/>
  <c r="C262" i="1"/>
  <c r="X260" i="1"/>
  <c r="W260" i="1"/>
  <c r="S258" i="1"/>
  <c r="D258" i="1" s="1"/>
  <c r="A258" i="1" s="1"/>
  <c r="P258" i="1"/>
  <c r="E258" i="1" s="1"/>
  <c r="O258" i="1"/>
  <c r="I260" i="1"/>
  <c r="M260" i="1"/>
  <c r="H260" i="1"/>
  <c r="J260" i="1" s="1"/>
  <c r="L260" i="1" s="1"/>
  <c r="T260" i="1"/>
  <c r="S259" i="1" l="1"/>
  <c r="D259" i="1" s="1"/>
  <c r="A259" i="1" s="1"/>
  <c r="P259" i="1"/>
  <c r="E259" i="1" s="1"/>
  <c r="N260" i="1"/>
  <c r="S260" i="1" s="1"/>
  <c r="D260" i="1" s="1"/>
  <c r="A260" i="1" s="1"/>
  <c r="V260" i="1"/>
  <c r="W261" i="1"/>
  <c r="X261" i="1"/>
  <c r="M261" i="1"/>
  <c r="I261" i="1"/>
  <c r="H261" i="1"/>
  <c r="J261" i="1" s="1"/>
  <c r="L261" i="1" s="1"/>
  <c r="T261" i="1"/>
  <c r="B262" i="1"/>
  <c r="Q262" i="1"/>
  <c r="Y262" i="1"/>
  <c r="AB271" i="1"/>
  <c r="AD271" i="1" s="1"/>
  <c r="AA271" i="1"/>
  <c r="Z262" i="1"/>
  <c r="R264" i="1"/>
  <c r="C263" i="1"/>
  <c r="AC270" i="1"/>
  <c r="AE270" i="1" s="1"/>
  <c r="P260" i="1" l="1"/>
  <c r="O260" i="1"/>
  <c r="N261" i="1"/>
  <c r="P261" i="1" s="1"/>
  <c r="E260" i="1"/>
  <c r="AC271" i="1"/>
  <c r="AE271" i="1" s="1"/>
  <c r="V262" i="1" s="1"/>
  <c r="C264" i="1"/>
  <c r="R265" i="1"/>
  <c r="W262" i="1"/>
  <c r="X262" i="1"/>
  <c r="I262" i="1"/>
  <c r="M262" i="1"/>
  <c r="H262" i="1"/>
  <c r="J262" i="1" s="1"/>
  <c r="L262" i="1" s="1"/>
  <c r="T262" i="1"/>
  <c r="U261" i="1"/>
  <c r="V261" i="1"/>
  <c r="Q263" i="1"/>
  <c r="B263" i="1"/>
  <c r="Y263" i="1"/>
  <c r="AB272" i="1"/>
  <c r="AD272" i="1" s="1"/>
  <c r="AA272" i="1"/>
  <c r="Z263" i="1"/>
  <c r="O261" i="1" l="1"/>
  <c r="S261" i="1"/>
  <c r="D261" i="1" s="1"/>
  <c r="A261" i="1" s="1"/>
  <c r="E261" i="1"/>
  <c r="N262" i="1"/>
  <c r="P262" i="1" s="1"/>
  <c r="E262" i="1" s="1"/>
  <c r="U262" i="1"/>
  <c r="R266" i="1"/>
  <c r="C265" i="1"/>
  <c r="M263" i="1"/>
  <c r="I263" i="1"/>
  <c r="H263" i="1"/>
  <c r="J263" i="1" s="1"/>
  <c r="L263" i="1" s="1"/>
  <c r="T263" i="1"/>
  <c r="Q264" i="1"/>
  <c r="B264" i="1"/>
  <c r="Y264" i="1"/>
  <c r="AB273" i="1"/>
  <c r="AD273" i="1" s="1"/>
  <c r="AA273" i="1"/>
  <c r="Z264" i="1"/>
  <c r="AC272" i="1"/>
  <c r="AE272" i="1" s="1"/>
  <c r="X263" i="1"/>
  <c r="W263" i="1"/>
  <c r="S262" i="1" l="1"/>
  <c r="D262" i="1" s="1"/>
  <c r="A262" i="1" s="1"/>
  <c r="O262" i="1"/>
  <c r="N263" i="1"/>
  <c r="O263" i="1" s="1"/>
  <c r="AC273" i="1"/>
  <c r="AE273" i="1" s="1"/>
  <c r="V264" i="1" s="1"/>
  <c r="I264" i="1"/>
  <c r="M264" i="1"/>
  <c r="H264" i="1"/>
  <c r="J264" i="1" s="1"/>
  <c r="L264" i="1" s="1"/>
  <c r="T264" i="1"/>
  <c r="V263" i="1"/>
  <c r="U263" i="1"/>
  <c r="Q265" i="1"/>
  <c r="B265" i="1"/>
  <c r="Y265" i="1"/>
  <c r="AB274" i="1"/>
  <c r="AD274" i="1" s="1"/>
  <c r="AA274" i="1"/>
  <c r="Z265" i="1"/>
  <c r="X264" i="1"/>
  <c r="W264" i="1"/>
  <c r="C266" i="1"/>
  <c r="R267" i="1"/>
  <c r="S263" i="1" l="1"/>
  <c r="D263" i="1" s="1"/>
  <c r="A263" i="1" s="1"/>
  <c r="N264" i="1"/>
  <c r="O264" i="1" s="1"/>
  <c r="P263" i="1"/>
  <c r="U264" i="1"/>
  <c r="E263" i="1"/>
  <c r="AC274" i="1"/>
  <c r="AE274" i="1" s="1"/>
  <c r="U265" i="1" s="1"/>
  <c r="X265" i="1"/>
  <c r="W265" i="1"/>
  <c r="R268" i="1"/>
  <c r="C267" i="1"/>
  <c r="B266" i="1"/>
  <c r="Q266" i="1"/>
  <c r="Y266" i="1"/>
  <c r="AB275" i="1"/>
  <c r="AD275" i="1" s="1"/>
  <c r="AA275" i="1"/>
  <c r="Z266" i="1"/>
  <c r="I265" i="1"/>
  <c r="M265" i="1"/>
  <c r="H265" i="1"/>
  <c r="T265" i="1"/>
  <c r="S264" i="1" l="1"/>
  <c r="D264" i="1" s="1"/>
  <c r="A264" i="1" s="1"/>
  <c r="P264" i="1"/>
  <c r="E264" i="1" s="1"/>
  <c r="AC275" i="1"/>
  <c r="AE275" i="1" s="1"/>
  <c r="V266" i="1" s="1"/>
  <c r="V265" i="1"/>
  <c r="J265" i="1"/>
  <c r="L265" i="1" s="1"/>
  <c r="N265" i="1" s="1"/>
  <c r="B267" i="1"/>
  <c r="Q267" i="1"/>
  <c r="Y267" i="1"/>
  <c r="AB276" i="1"/>
  <c r="AD276" i="1" s="1"/>
  <c r="AA276" i="1"/>
  <c r="Z267" i="1"/>
  <c r="C268" i="1"/>
  <c r="R269" i="1"/>
  <c r="W266" i="1"/>
  <c r="X266" i="1"/>
  <c r="I266" i="1"/>
  <c r="M266" i="1"/>
  <c r="H266" i="1"/>
  <c r="J266" i="1" s="1"/>
  <c r="L266" i="1" s="1"/>
  <c r="T266" i="1"/>
  <c r="N266" i="1" l="1"/>
  <c r="O266" i="1" s="1"/>
  <c r="U266" i="1"/>
  <c r="AC276" i="1"/>
  <c r="AE276" i="1" s="1"/>
  <c r="X267" i="1"/>
  <c r="W267" i="1"/>
  <c r="M267" i="1"/>
  <c r="I267" i="1"/>
  <c r="H267" i="1"/>
  <c r="J267" i="1" s="1"/>
  <c r="L267" i="1" s="1"/>
  <c r="T267" i="1"/>
  <c r="R270" i="1"/>
  <c r="C269" i="1"/>
  <c r="Q268" i="1"/>
  <c r="B268" i="1"/>
  <c r="Y268" i="1"/>
  <c r="AB277" i="1"/>
  <c r="AD277" i="1" s="1"/>
  <c r="AA277" i="1"/>
  <c r="Z268" i="1"/>
  <c r="P265" i="1"/>
  <c r="E265" i="1" s="1"/>
  <c r="O265" i="1"/>
  <c r="S265" i="1"/>
  <c r="D265" i="1" s="1"/>
  <c r="A265" i="1" s="1"/>
  <c r="N267" i="1" l="1"/>
  <c r="S267" i="1" s="1"/>
  <c r="S266" i="1"/>
  <c r="D266" i="1" s="1"/>
  <c r="A266" i="1" s="1"/>
  <c r="P266" i="1"/>
  <c r="E266" i="1" s="1"/>
  <c r="AC277" i="1"/>
  <c r="AE277" i="1" s="1"/>
  <c r="C270" i="1"/>
  <c r="R271" i="1"/>
  <c r="W268" i="1"/>
  <c r="X268" i="1"/>
  <c r="M268" i="1"/>
  <c r="I268" i="1"/>
  <c r="H268" i="1"/>
  <c r="J268" i="1" s="1"/>
  <c r="L268" i="1" s="1"/>
  <c r="T268" i="1"/>
  <c r="U267" i="1"/>
  <c r="V267" i="1"/>
  <c r="B269" i="1"/>
  <c r="Q269" i="1"/>
  <c r="Y269" i="1"/>
  <c r="AB278" i="1"/>
  <c r="AD278" i="1" s="1"/>
  <c r="AA278" i="1"/>
  <c r="Z269" i="1"/>
  <c r="P267" i="1" l="1"/>
  <c r="N268" i="1"/>
  <c r="P268" i="1" s="1"/>
  <c r="O267" i="1"/>
  <c r="D267" i="1"/>
  <c r="A267" i="1" s="1"/>
  <c r="E267" i="1"/>
  <c r="R272" i="1"/>
  <c r="C271" i="1"/>
  <c r="X269" i="1"/>
  <c r="W269" i="1"/>
  <c r="M269" i="1"/>
  <c r="I269" i="1"/>
  <c r="H269" i="1"/>
  <c r="J269" i="1" s="1"/>
  <c r="L269" i="1" s="1"/>
  <c r="T269" i="1"/>
  <c r="B270" i="1"/>
  <c r="Q270" i="1"/>
  <c r="Y270" i="1"/>
  <c r="AB279" i="1"/>
  <c r="AD279" i="1" s="1"/>
  <c r="AA279" i="1"/>
  <c r="Z270" i="1"/>
  <c r="AC278" i="1"/>
  <c r="AE278" i="1" s="1"/>
  <c r="V268" i="1"/>
  <c r="U268" i="1"/>
  <c r="S268" i="1" l="1"/>
  <c r="D268" i="1" s="1"/>
  <c r="A268" i="1" s="1"/>
  <c r="O268" i="1"/>
  <c r="N269" i="1"/>
  <c r="P269" i="1" s="1"/>
  <c r="AC279" i="1"/>
  <c r="AE279" i="1" s="1"/>
  <c r="U270" i="1" s="1"/>
  <c r="V269" i="1"/>
  <c r="U269" i="1"/>
  <c r="E268" i="1"/>
  <c r="M270" i="1"/>
  <c r="I270" i="1"/>
  <c r="H270" i="1"/>
  <c r="J270" i="1" s="1"/>
  <c r="L270" i="1" s="1"/>
  <c r="T270" i="1"/>
  <c r="B271" i="1"/>
  <c r="Q271" i="1"/>
  <c r="Y271" i="1"/>
  <c r="AB280" i="1"/>
  <c r="AD280" i="1" s="1"/>
  <c r="AA280" i="1"/>
  <c r="Z271" i="1"/>
  <c r="W270" i="1"/>
  <c r="X270" i="1"/>
  <c r="C272" i="1"/>
  <c r="R273" i="1"/>
  <c r="S269" i="1" l="1"/>
  <c r="O269" i="1"/>
  <c r="N270" i="1"/>
  <c r="S270" i="1" s="1"/>
  <c r="D270" i="1" s="1"/>
  <c r="A270" i="1" s="1"/>
  <c r="D269" i="1"/>
  <c r="A269" i="1" s="1"/>
  <c r="E269" i="1"/>
  <c r="AC280" i="1"/>
  <c r="AE280" i="1" s="1"/>
  <c r="V270" i="1"/>
  <c r="W271" i="1"/>
  <c r="X271" i="1"/>
  <c r="C273" i="1"/>
  <c r="R274" i="1"/>
  <c r="M271" i="1"/>
  <c r="I271" i="1"/>
  <c r="H271" i="1"/>
  <c r="J271" i="1" s="1"/>
  <c r="L271" i="1" s="1"/>
  <c r="T271" i="1"/>
  <c r="B272" i="1"/>
  <c r="Q272" i="1"/>
  <c r="Y272" i="1"/>
  <c r="AB281" i="1"/>
  <c r="AD281" i="1" s="1"/>
  <c r="AA281" i="1"/>
  <c r="Z272" i="1"/>
  <c r="P270" i="1" l="1"/>
  <c r="N271" i="1"/>
  <c r="S271" i="1" s="1"/>
  <c r="O270" i="1"/>
  <c r="E270" i="1"/>
  <c r="AC281" i="1"/>
  <c r="AE281" i="1" s="1"/>
  <c r="R275" i="1"/>
  <c r="C274" i="1"/>
  <c r="V271" i="1"/>
  <c r="U271" i="1"/>
  <c r="M272" i="1"/>
  <c r="H272" i="1"/>
  <c r="J272" i="1" s="1"/>
  <c r="L272" i="1" s="1"/>
  <c r="I272" i="1"/>
  <c r="T272" i="1"/>
  <c r="Q273" i="1"/>
  <c r="B273" i="1"/>
  <c r="Y273" i="1"/>
  <c r="AB282" i="1"/>
  <c r="AD282" i="1" s="1"/>
  <c r="AA282" i="1"/>
  <c r="Z273" i="1"/>
  <c r="X272" i="1"/>
  <c r="W272" i="1"/>
  <c r="P271" i="1" l="1"/>
  <c r="O271" i="1"/>
  <c r="N272" i="1"/>
  <c r="O272" i="1" s="1"/>
  <c r="D271" i="1"/>
  <c r="A271" i="1" s="1"/>
  <c r="AC282" i="1"/>
  <c r="AE282" i="1" s="1"/>
  <c r="U273" i="1" s="1"/>
  <c r="E271" i="1"/>
  <c r="B274" i="1"/>
  <c r="Q274" i="1"/>
  <c r="Y274" i="1"/>
  <c r="AB283" i="1"/>
  <c r="AD283" i="1" s="1"/>
  <c r="Z274" i="1"/>
  <c r="AA283" i="1"/>
  <c r="X273" i="1"/>
  <c r="W273" i="1"/>
  <c r="I273" i="1"/>
  <c r="M273" i="1"/>
  <c r="H273" i="1"/>
  <c r="J273" i="1" s="1"/>
  <c r="L273" i="1" s="1"/>
  <c r="T273" i="1"/>
  <c r="C275" i="1"/>
  <c r="R276" i="1"/>
  <c r="V272" i="1"/>
  <c r="U272" i="1"/>
  <c r="S272" i="1" l="1"/>
  <c r="D272" i="1" s="1"/>
  <c r="A272" i="1" s="1"/>
  <c r="P272" i="1"/>
  <c r="E272" i="1" s="1"/>
  <c r="N273" i="1"/>
  <c r="S273" i="1" s="1"/>
  <c r="D273" i="1" s="1"/>
  <c r="A273" i="1" s="1"/>
  <c r="V273" i="1"/>
  <c r="W274" i="1"/>
  <c r="X274" i="1"/>
  <c r="M274" i="1"/>
  <c r="I274" i="1"/>
  <c r="H274" i="1"/>
  <c r="J274" i="1" s="1"/>
  <c r="L274" i="1" s="1"/>
  <c r="T274" i="1"/>
  <c r="C276" i="1"/>
  <c r="R277" i="1"/>
  <c r="Q275" i="1"/>
  <c r="B275" i="1"/>
  <c r="Y275" i="1"/>
  <c r="AB284" i="1"/>
  <c r="AD284" i="1" s="1"/>
  <c r="AA284" i="1"/>
  <c r="Z275" i="1"/>
  <c r="AC283" i="1"/>
  <c r="AE283" i="1" s="1"/>
  <c r="P273" i="1" l="1"/>
  <c r="N274" i="1"/>
  <c r="P274" i="1" s="1"/>
  <c r="O273" i="1"/>
  <c r="E273" i="1"/>
  <c r="AC284" i="1"/>
  <c r="AE284" i="1" s="1"/>
  <c r="U275" i="1" s="1"/>
  <c r="X275" i="1"/>
  <c r="W275" i="1"/>
  <c r="R278" i="1"/>
  <c r="C277" i="1"/>
  <c r="M275" i="1"/>
  <c r="I275" i="1"/>
  <c r="H275" i="1"/>
  <c r="J275" i="1" s="1"/>
  <c r="L275" i="1" s="1"/>
  <c r="T275" i="1"/>
  <c r="V274" i="1"/>
  <c r="U274" i="1"/>
  <c r="B276" i="1"/>
  <c r="Q276" i="1"/>
  <c r="Y276" i="1"/>
  <c r="AB285" i="1"/>
  <c r="AD285" i="1" s="1"/>
  <c r="AA285" i="1"/>
  <c r="Z276" i="1"/>
  <c r="O274" i="1" l="1"/>
  <c r="S274" i="1"/>
  <c r="D274" i="1" s="1"/>
  <c r="A274" i="1" s="1"/>
  <c r="N275" i="1"/>
  <c r="P275" i="1" s="1"/>
  <c r="E274" i="1"/>
  <c r="AC285" i="1"/>
  <c r="AE285" i="1" s="1"/>
  <c r="V275" i="1"/>
  <c r="Q277" i="1"/>
  <c r="B277" i="1"/>
  <c r="Y277" i="1"/>
  <c r="AB286" i="1"/>
  <c r="AD286" i="1" s="1"/>
  <c r="Z277" i="1"/>
  <c r="AA286" i="1"/>
  <c r="R279" i="1"/>
  <c r="C278" i="1"/>
  <c r="W276" i="1"/>
  <c r="X276" i="1"/>
  <c r="M276" i="1"/>
  <c r="I276" i="1"/>
  <c r="H276" i="1"/>
  <c r="J276" i="1" s="1"/>
  <c r="L276" i="1" s="1"/>
  <c r="N276" i="1" s="1"/>
  <c r="T276" i="1"/>
  <c r="O275" i="1" l="1"/>
  <c r="S275" i="1"/>
  <c r="D275" i="1" s="1"/>
  <c r="A275" i="1" s="1"/>
  <c r="E275" i="1"/>
  <c r="M277" i="1"/>
  <c r="I277" i="1"/>
  <c r="H277" i="1"/>
  <c r="J277" i="1" s="1"/>
  <c r="L277" i="1" s="1"/>
  <c r="T277" i="1"/>
  <c r="X277" i="1"/>
  <c r="W277" i="1"/>
  <c r="Q278" i="1"/>
  <c r="B278" i="1"/>
  <c r="Y278" i="1"/>
  <c r="AB287" i="1"/>
  <c r="AD287" i="1" s="1"/>
  <c r="AA287" i="1"/>
  <c r="Z278" i="1"/>
  <c r="C279" i="1"/>
  <c r="R280" i="1"/>
  <c r="U276" i="1"/>
  <c r="V276" i="1"/>
  <c r="O276" i="1"/>
  <c r="P276" i="1"/>
  <c r="S276" i="1"/>
  <c r="AC286" i="1"/>
  <c r="AE286" i="1" s="1"/>
  <c r="N277" i="1" l="1"/>
  <c r="O277" i="1" s="1"/>
  <c r="E276" i="1"/>
  <c r="D276" i="1"/>
  <c r="A276" i="1" s="1"/>
  <c r="M278" i="1"/>
  <c r="I278" i="1"/>
  <c r="H278" i="1"/>
  <c r="J278" i="1" s="1"/>
  <c r="L278" i="1" s="1"/>
  <c r="T278" i="1"/>
  <c r="C280" i="1"/>
  <c r="R281" i="1"/>
  <c r="B279" i="1"/>
  <c r="Q279" i="1"/>
  <c r="Y279" i="1"/>
  <c r="AB288" i="1"/>
  <c r="AD288" i="1" s="1"/>
  <c r="AA288" i="1"/>
  <c r="Z279" i="1"/>
  <c r="V277" i="1"/>
  <c r="U277" i="1"/>
  <c r="AC287" i="1"/>
  <c r="AE287" i="1" s="1"/>
  <c r="X278" i="1"/>
  <c r="W278" i="1"/>
  <c r="N278" i="1" l="1"/>
  <c r="O278" i="1" s="1"/>
  <c r="P277" i="1"/>
  <c r="E277" i="1" s="1"/>
  <c r="S277" i="1"/>
  <c r="D277" i="1" s="1"/>
  <c r="A277" i="1" s="1"/>
  <c r="AC288" i="1"/>
  <c r="AE288" i="1" s="1"/>
  <c r="V279" i="1" s="1"/>
  <c r="U278" i="1"/>
  <c r="V278" i="1"/>
  <c r="R282" i="1"/>
  <c r="C281" i="1"/>
  <c r="Q280" i="1"/>
  <c r="B280" i="1"/>
  <c r="Y280" i="1"/>
  <c r="AB289" i="1"/>
  <c r="AD289" i="1" s="1"/>
  <c r="AA289" i="1"/>
  <c r="Z280" i="1"/>
  <c r="X279" i="1"/>
  <c r="W279" i="1"/>
  <c r="M279" i="1"/>
  <c r="I279" i="1"/>
  <c r="H279" i="1"/>
  <c r="J279" i="1" s="1"/>
  <c r="L279" i="1" s="1"/>
  <c r="T279" i="1"/>
  <c r="N279" i="1" l="1"/>
  <c r="O279" i="1" s="1"/>
  <c r="P278" i="1"/>
  <c r="S278" i="1"/>
  <c r="U279" i="1"/>
  <c r="AC289" i="1"/>
  <c r="AE289" i="1" s="1"/>
  <c r="W280" i="1"/>
  <c r="X280" i="1"/>
  <c r="M280" i="1"/>
  <c r="I280" i="1"/>
  <c r="H280" i="1"/>
  <c r="J280" i="1" s="1"/>
  <c r="L280" i="1" s="1"/>
  <c r="T280" i="1"/>
  <c r="P279" i="1"/>
  <c r="E279" i="1" s="1"/>
  <c r="B281" i="1"/>
  <c r="Q281" i="1"/>
  <c r="Y281" i="1"/>
  <c r="AB290" i="1"/>
  <c r="AD290" i="1" s="1"/>
  <c r="AA290" i="1"/>
  <c r="Z281" i="1"/>
  <c r="R283" i="1"/>
  <c r="C282" i="1"/>
  <c r="E278" i="1"/>
  <c r="D278" i="1"/>
  <c r="A278" i="1" s="1"/>
  <c r="S279" i="1" l="1"/>
  <c r="D279" i="1" s="1"/>
  <c r="A279" i="1" s="1"/>
  <c r="N280" i="1"/>
  <c r="O280" i="1" s="1"/>
  <c r="AC290" i="1"/>
  <c r="AE290" i="1" s="1"/>
  <c r="U280" i="1"/>
  <c r="V280" i="1"/>
  <c r="X281" i="1"/>
  <c r="W281" i="1"/>
  <c r="I281" i="1"/>
  <c r="M281" i="1"/>
  <c r="H281" i="1"/>
  <c r="T281" i="1"/>
  <c r="B282" i="1"/>
  <c r="Y282" i="1"/>
  <c r="Q282" i="1"/>
  <c r="AB291" i="1"/>
  <c r="AD291" i="1" s="1"/>
  <c r="AA291" i="1"/>
  <c r="Z282" i="1"/>
  <c r="C283" i="1"/>
  <c r="R284" i="1"/>
  <c r="S280" i="1" l="1"/>
  <c r="D280" i="1" s="1"/>
  <c r="A280" i="1" s="1"/>
  <c r="P280" i="1"/>
  <c r="E280" i="1" s="1"/>
  <c r="I282" i="1"/>
  <c r="H282" i="1"/>
  <c r="J282" i="1" s="1"/>
  <c r="L282" i="1" s="1"/>
  <c r="M282" i="1"/>
  <c r="T282" i="1"/>
  <c r="W282" i="1"/>
  <c r="X282" i="1"/>
  <c r="R285" i="1"/>
  <c r="C284" i="1"/>
  <c r="B283" i="1"/>
  <c r="Q283" i="1"/>
  <c r="Y283" i="1"/>
  <c r="AB292" i="1"/>
  <c r="AD292" i="1" s="1"/>
  <c r="AA292" i="1"/>
  <c r="Z283" i="1"/>
  <c r="J281" i="1"/>
  <c r="L281" i="1" s="1"/>
  <c r="N281" i="1" s="1"/>
  <c r="AC291" i="1"/>
  <c r="AE291" i="1" s="1"/>
  <c r="U281" i="1"/>
  <c r="V281" i="1"/>
  <c r="N282" i="1" l="1"/>
  <c r="O282" i="1" s="1"/>
  <c r="P281" i="1"/>
  <c r="O281" i="1"/>
  <c r="S281" i="1"/>
  <c r="D281" i="1" s="1"/>
  <c r="A281" i="1" s="1"/>
  <c r="C285" i="1"/>
  <c r="R286" i="1"/>
  <c r="AC292" i="1"/>
  <c r="AE292" i="1" s="1"/>
  <c r="X283" i="1"/>
  <c r="W283" i="1"/>
  <c r="V282" i="1"/>
  <c r="U282" i="1"/>
  <c r="Q284" i="1"/>
  <c r="B284" i="1"/>
  <c r="Y284" i="1"/>
  <c r="AB293" i="1"/>
  <c r="AD293" i="1" s="1"/>
  <c r="AA293" i="1"/>
  <c r="Z284" i="1"/>
  <c r="E281" i="1"/>
  <c r="M283" i="1"/>
  <c r="I283" i="1"/>
  <c r="H283" i="1"/>
  <c r="T283" i="1"/>
  <c r="P282" i="1" l="1"/>
  <c r="E282" i="1" s="1"/>
  <c r="S282" i="1"/>
  <c r="D282" i="1" s="1"/>
  <c r="A282" i="1" s="1"/>
  <c r="AC293" i="1"/>
  <c r="AE293" i="1" s="1"/>
  <c r="J283" i="1"/>
  <c r="L283" i="1" s="1"/>
  <c r="N283" i="1" s="1"/>
  <c r="V283" i="1"/>
  <c r="U283" i="1"/>
  <c r="M284" i="1"/>
  <c r="I284" i="1"/>
  <c r="H284" i="1"/>
  <c r="T284" i="1"/>
  <c r="C286" i="1"/>
  <c r="R287" i="1"/>
  <c r="Q285" i="1"/>
  <c r="B285" i="1"/>
  <c r="Y285" i="1"/>
  <c r="AB294" i="1"/>
  <c r="AD294" i="1" s="1"/>
  <c r="Z285" i="1"/>
  <c r="AA294" i="1"/>
  <c r="X284" i="1"/>
  <c r="W284" i="1"/>
  <c r="C287" i="1" l="1"/>
  <c r="R288" i="1"/>
  <c r="U284" i="1"/>
  <c r="V284" i="1"/>
  <c r="J284" i="1"/>
  <c r="L284" i="1" s="1"/>
  <c r="N284" i="1" s="1"/>
  <c r="Q286" i="1"/>
  <c r="B286" i="1"/>
  <c r="Y286" i="1"/>
  <c r="AB295" i="1"/>
  <c r="AD295" i="1" s="1"/>
  <c r="Z286" i="1"/>
  <c r="AA295" i="1"/>
  <c r="AC294" i="1"/>
  <c r="AE294" i="1" s="1"/>
  <c r="W285" i="1"/>
  <c r="X285" i="1"/>
  <c r="M285" i="1"/>
  <c r="I285" i="1"/>
  <c r="H285" i="1"/>
  <c r="T285" i="1"/>
  <c r="P283" i="1"/>
  <c r="E283" i="1" s="1"/>
  <c r="O283" i="1"/>
  <c r="S283" i="1"/>
  <c r="D283" i="1" s="1"/>
  <c r="A283" i="1" s="1"/>
  <c r="X286" i="1" l="1"/>
  <c r="W286" i="1"/>
  <c r="M286" i="1"/>
  <c r="I286" i="1"/>
  <c r="H286" i="1"/>
  <c r="J286" i="1" s="1"/>
  <c r="L286" i="1" s="1"/>
  <c r="N286" i="1" s="1"/>
  <c r="T286" i="1"/>
  <c r="O284" i="1"/>
  <c r="P284" i="1"/>
  <c r="E284" i="1" s="1"/>
  <c r="S284" i="1"/>
  <c r="D284" i="1" s="1"/>
  <c r="A284" i="1" s="1"/>
  <c r="U285" i="1"/>
  <c r="V285" i="1"/>
  <c r="J285" i="1"/>
  <c r="L285" i="1" s="1"/>
  <c r="N285" i="1" s="1"/>
  <c r="AC295" i="1"/>
  <c r="AE295" i="1" s="1"/>
  <c r="C288" i="1"/>
  <c r="R289" i="1"/>
  <c r="Q287" i="1"/>
  <c r="B287" i="1"/>
  <c r="Y287" i="1"/>
  <c r="AB296" i="1"/>
  <c r="AD296" i="1" s="1"/>
  <c r="Z287" i="1"/>
  <c r="AA296" i="1"/>
  <c r="B288" i="1" l="1"/>
  <c r="Q288" i="1"/>
  <c r="Y288" i="1"/>
  <c r="AB297" i="1"/>
  <c r="AD297" i="1" s="1"/>
  <c r="Z288" i="1"/>
  <c r="AA297" i="1"/>
  <c r="V286" i="1"/>
  <c r="E286" i="1" s="1"/>
  <c r="U286" i="1"/>
  <c r="D286" i="1" s="1"/>
  <c r="A286" i="1" s="1"/>
  <c r="S286" i="1"/>
  <c r="P286" i="1"/>
  <c r="O286" i="1"/>
  <c r="AC296" i="1"/>
  <c r="AE296" i="1" s="1"/>
  <c r="S285" i="1"/>
  <c r="D285" i="1" s="1"/>
  <c r="A285" i="1" s="1"/>
  <c r="O285" i="1"/>
  <c r="P285" i="1"/>
  <c r="E285" i="1" s="1"/>
  <c r="X287" i="1"/>
  <c r="W287" i="1"/>
  <c r="M287" i="1"/>
  <c r="I287" i="1"/>
  <c r="H287" i="1"/>
  <c r="J287" i="1" s="1"/>
  <c r="L287" i="1" s="1"/>
  <c r="T287" i="1"/>
  <c r="R290" i="1"/>
  <c r="C289" i="1"/>
  <c r="N287" i="1" l="1"/>
  <c r="P287" i="1" s="1"/>
  <c r="AC297" i="1"/>
  <c r="AE297" i="1" s="1"/>
  <c r="U288" i="1" s="1"/>
  <c r="R291" i="1"/>
  <c r="C290" i="1"/>
  <c r="W288" i="1"/>
  <c r="X288" i="1"/>
  <c r="I288" i="1"/>
  <c r="M288" i="1"/>
  <c r="H288" i="1"/>
  <c r="J288" i="1" s="1"/>
  <c r="L288" i="1" s="1"/>
  <c r="T288" i="1"/>
  <c r="U287" i="1"/>
  <c r="V287" i="1"/>
  <c r="B289" i="1"/>
  <c r="Q289" i="1"/>
  <c r="Y289" i="1"/>
  <c r="AB298" i="1"/>
  <c r="AD298" i="1" s="1"/>
  <c r="Z289" i="1"/>
  <c r="AA298" i="1"/>
  <c r="E287" i="1" l="1"/>
  <c r="O287" i="1"/>
  <c r="N288" i="1"/>
  <c r="O288" i="1" s="1"/>
  <c r="S287" i="1"/>
  <c r="D287" i="1" s="1"/>
  <c r="A287" i="1" s="1"/>
  <c r="V288" i="1"/>
  <c r="B290" i="1"/>
  <c r="Q290" i="1"/>
  <c r="Y290" i="1"/>
  <c r="AB299" i="1"/>
  <c r="AD299" i="1" s="1"/>
  <c r="AA299" i="1"/>
  <c r="Z290" i="1"/>
  <c r="C291" i="1"/>
  <c r="R292" i="1"/>
  <c r="AC298" i="1"/>
  <c r="AE298" i="1" s="1"/>
  <c r="W289" i="1"/>
  <c r="X289" i="1"/>
  <c r="M289" i="1"/>
  <c r="I289" i="1"/>
  <c r="H289" i="1"/>
  <c r="J289" i="1" s="1"/>
  <c r="L289" i="1" s="1"/>
  <c r="T289" i="1"/>
  <c r="N289" i="1" l="1"/>
  <c r="O289" i="1" s="1"/>
  <c r="P288" i="1"/>
  <c r="E288" i="1" s="1"/>
  <c r="S288" i="1"/>
  <c r="D288" i="1" s="1"/>
  <c r="A288" i="1" s="1"/>
  <c r="W290" i="1"/>
  <c r="X290" i="1"/>
  <c r="AC299" i="1"/>
  <c r="AE299" i="1" s="1"/>
  <c r="C292" i="1"/>
  <c r="R293" i="1"/>
  <c r="Q291" i="1"/>
  <c r="B291" i="1"/>
  <c r="Y291" i="1"/>
  <c r="AB300" i="1"/>
  <c r="AD300" i="1" s="1"/>
  <c r="AA300" i="1"/>
  <c r="Z291" i="1"/>
  <c r="M290" i="1"/>
  <c r="I290" i="1"/>
  <c r="H290" i="1"/>
  <c r="T290" i="1"/>
  <c r="V289" i="1"/>
  <c r="U289" i="1"/>
  <c r="S289" i="1" l="1"/>
  <c r="P289" i="1"/>
  <c r="E289" i="1" s="1"/>
  <c r="AC300" i="1"/>
  <c r="AE300" i="1" s="1"/>
  <c r="U291" i="1" s="1"/>
  <c r="X291" i="1"/>
  <c r="W291" i="1"/>
  <c r="J290" i="1"/>
  <c r="L290" i="1" s="1"/>
  <c r="N290" i="1" s="1"/>
  <c r="M291" i="1"/>
  <c r="I291" i="1"/>
  <c r="H291" i="1"/>
  <c r="T291" i="1"/>
  <c r="C293" i="1"/>
  <c r="R294" i="1"/>
  <c r="D289" i="1"/>
  <c r="A289" i="1" s="1"/>
  <c r="B292" i="1"/>
  <c r="Q292" i="1"/>
  <c r="Y292" i="1"/>
  <c r="AB301" i="1"/>
  <c r="AD301" i="1" s="1"/>
  <c r="Z292" i="1"/>
  <c r="AA301" i="1"/>
  <c r="V290" i="1"/>
  <c r="U290" i="1"/>
  <c r="V291" i="1" l="1"/>
  <c r="AC301" i="1"/>
  <c r="AE301" i="1" s="1"/>
  <c r="J291" i="1"/>
  <c r="L291" i="1" s="1"/>
  <c r="N291" i="1" s="1"/>
  <c r="W292" i="1"/>
  <c r="X292" i="1"/>
  <c r="S290" i="1"/>
  <c r="D290" i="1" s="1"/>
  <c r="A290" i="1" s="1"/>
  <c r="P290" i="1"/>
  <c r="E290" i="1" s="1"/>
  <c r="O290" i="1"/>
  <c r="B293" i="1"/>
  <c r="Q293" i="1"/>
  <c r="Y293" i="1"/>
  <c r="AB302" i="1"/>
  <c r="AD302" i="1" s="1"/>
  <c r="Z293" i="1"/>
  <c r="AA302" i="1"/>
  <c r="M292" i="1"/>
  <c r="I292" i="1"/>
  <c r="H292" i="1"/>
  <c r="J292" i="1" s="1"/>
  <c r="L292" i="1" s="1"/>
  <c r="T292" i="1"/>
  <c r="C294" i="1"/>
  <c r="R295" i="1"/>
  <c r="N292" i="1" l="1"/>
  <c r="P292" i="1" s="1"/>
  <c r="M293" i="1"/>
  <c r="I293" i="1"/>
  <c r="H293" i="1"/>
  <c r="T293" i="1"/>
  <c r="R296" i="1"/>
  <c r="C295" i="1"/>
  <c r="B294" i="1"/>
  <c r="Q294" i="1"/>
  <c r="Y294" i="1"/>
  <c r="AB303" i="1"/>
  <c r="AD303" i="1" s="1"/>
  <c r="Z294" i="1"/>
  <c r="AA303" i="1"/>
  <c r="W293" i="1"/>
  <c r="X293" i="1"/>
  <c r="AC302" i="1"/>
  <c r="AE302" i="1" s="1"/>
  <c r="S291" i="1"/>
  <c r="D291" i="1" s="1"/>
  <c r="A291" i="1" s="1"/>
  <c r="P291" i="1"/>
  <c r="E291" i="1" s="1"/>
  <c r="O291" i="1"/>
  <c r="U292" i="1"/>
  <c r="V292" i="1"/>
  <c r="E292" i="1" l="1"/>
  <c r="O292" i="1"/>
  <c r="S292" i="1"/>
  <c r="D292" i="1" s="1"/>
  <c r="A292" i="1" s="1"/>
  <c r="AC303" i="1"/>
  <c r="AE303" i="1" s="1"/>
  <c r="U294" i="1" s="1"/>
  <c r="J293" i="1"/>
  <c r="L293" i="1" s="1"/>
  <c r="N293" i="1" s="1"/>
  <c r="C296" i="1"/>
  <c r="R297" i="1"/>
  <c r="X294" i="1"/>
  <c r="W294" i="1"/>
  <c r="U293" i="1"/>
  <c r="V293" i="1"/>
  <c r="M294" i="1"/>
  <c r="I294" i="1"/>
  <c r="H294" i="1"/>
  <c r="J294" i="1" s="1"/>
  <c r="L294" i="1" s="1"/>
  <c r="T294" i="1"/>
  <c r="Q295" i="1"/>
  <c r="B295" i="1"/>
  <c r="Y295" i="1"/>
  <c r="AB304" i="1"/>
  <c r="AD304" i="1" s="1"/>
  <c r="AA304" i="1"/>
  <c r="Z295" i="1"/>
  <c r="N294" i="1" l="1"/>
  <c r="O294" i="1" s="1"/>
  <c r="V294" i="1"/>
  <c r="AC304" i="1"/>
  <c r="AE304" i="1" s="1"/>
  <c r="X295" i="1"/>
  <c r="W295" i="1"/>
  <c r="M295" i="1"/>
  <c r="I295" i="1"/>
  <c r="H295" i="1"/>
  <c r="J295" i="1" s="1"/>
  <c r="L295" i="1" s="1"/>
  <c r="T295" i="1"/>
  <c r="S294" i="1"/>
  <c r="D294" i="1" s="1"/>
  <c r="A294" i="1" s="1"/>
  <c r="C297" i="1"/>
  <c r="R298" i="1"/>
  <c r="Q296" i="1"/>
  <c r="B296" i="1"/>
  <c r="Y296" i="1"/>
  <c r="AB305" i="1"/>
  <c r="AD305" i="1" s="1"/>
  <c r="Z296" i="1"/>
  <c r="AA305" i="1"/>
  <c r="S293" i="1"/>
  <c r="D293" i="1" s="1"/>
  <c r="A293" i="1" s="1"/>
  <c r="O293" i="1"/>
  <c r="P293" i="1"/>
  <c r="E293" i="1" s="1"/>
  <c r="N295" i="1" l="1"/>
  <c r="O295" i="1" s="1"/>
  <c r="P294" i="1"/>
  <c r="E294" i="1" s="1"/>
  <c r="B297" i="1"/>
  <c r="Q297" i="1"/>
  <c r="Y297" i="1"/>
  <c r="AB306" i="1"/>
  <c r="AD306" i="1" s="1"/>
  <c r="AA306" i="1"/>
  <c r="Z297" i="1"/>
  <c r="R299" i="1"/>
  <c r="C298" i="1"/>
  <c r="V295" i="1"/>
  <c r="U295" i="1"/>
  <c r="AC305" i="1"/>
  <c r="AE305" i="1" s="1"/>
  <c r="X296" i="1"/>
  <c r="W296" i="1"/>
  <c r="I296" i="1"/>
  <c r="M296" i="1"/>
  <c r="H296" i="1"/>
  <c r="J296" i="1" s="1"/>
  <c r="L296" i="1" s="1"/>
  <c r="T296" i="1"/>
  <c r="S295" i="1" l="1"/>
  <c r="D295" i="1" s="1"/>
  <c r="A295" i="1" s="1"/>
  <c r="P295" i="1"/>
  <c r="E295" i="1" s="1"/>
  <c r="N296" i="1"/>
  <c r="P296" i="1" s="1"/>
  <c r="B298" i="1"/>
  <c r="Q298" i="1"/>
  <c r="Y298" i="1"/>
  <c r="AB307" i="1"/>
  <c r="AD307" i="1" s="1"/>
  <c r="Z298" i="1"/>
  <c r="AA307" i="1"/>
  <c r="C299" i="1"/>
  <c r="R300" i="1"/>
  <c r="AC306" i="1"/>
  <c r="AE306" i="1" s="1"/>
  <c r="V296" i="1"/>
  <c r="U296" i="1"/>
  <c r="W297" i="1"/>
  <c r="X297" i="1"/>
  <c r="M297" i="1"/>
  <c r="I297" i="1"/>
  <c r="H297" i="1"/>
  <c r="J297" i="1" s="1"/>
  <c r="L297" i="1" s="1"/>
  <c r="T297" i="1"/>
  <c r="N297" i="1" l="1"/>
  <c r="S297" i="1" s="1"/>
  <c r="S296" i="1"/>
  <c r="O296" i="1"/>
  <c r="AC307" i="1"/>
  <c r="AE307" i="1" s="1"/>
  <c r="U298" i="1" s="1"/>
  <c r="C300" i="1"/>
  <c r="R301" i="1"/>
  <c r="B299" i="1"/>
  <c r="Q299" i="1"/>
  <c r="Y299" i="1"/>
  <c r="AB308" i="1"/>
  <c r="AD308" i="1" s="1"/>
  <c r="AA308" i="1"/>
  <c r="Z299" i="1"/>
  <c r="X298" i="1"/>
  <c r="W298" i="1"/>
  <c r="D296" i="1"/>
  <c r="A296" i="1" s="1"/>
  <c r="E296" i="1"/>
  <c r="M298" i="1"/>
  <c r="I298" i="1"/>
  <c r="H298" i="1"/>
  <c r="T298" i="1"/>
  <c r="U297" i="1"/>
  <c r="V297" i="1"/>
  <c r="D297" i="1" l="1"/>
  <c r="A297" i="1" s="1"/>
  <c r="P297" i="1"/>
  <c r="E297" i="1" s="1"/>
  <c r="O297" i="1"/>
  <c r="AC308" i="1"/>
  <c r="AE308" i="1" s="1"/>
  <c r="V299" i="1" s="1"/>
  <c r="V298" i="1"/>
  <c r="W299" i="1"/>
  <c r="X299" i="1"/>
  <c r="M299" i="1"/>
  <c r="I299" i="1"/>
  <c r="H299" i="1"/>
  <c r="J299" i="1" s="1"/>
  <c r="L299" i="1" s="1"/>
  <c r="T299" i="1"/>
  <c r="R302" i="1"/>
  <c r="C301" i="1"/>
  <c r="J298" i="1"/>
  <c r="L298" i="1" s="1"/>
  <c r="N298" i="1" s="1"/>
  <c r="Q300" i="1"/>
  <c r="Y300" i="1"/>
  <c r="B300" i="1"/>
  <c r="AB309" i="1"/>
  <c r="AD309" i="1" s="1"/>
  <c r="AA309" i="1"/>
  <c r="Z300" i="1"/>
  <c r="N299" i="1" l="1"/>
  <c r="S299" i="1" s="1"/>
  <c r="U299" i="1"/>
  <c r="X300" i="1"/>
  <c r="W300" i="1"/>
  <c r="M300" i="1"/>
  <c r="I300" i="1"/>
  <c r="H300" i="1"/>
  <c r="J300" i="1" s="1"/>
  <c r="L300" i="1" s="1"/>
  <c r="T300" i="1"/>
  <c r="S298" i="1"/>
  <c r="D298" i="1" s="1"/>
  <c r="A298" i="1" s="1"/>
  <c r="O298" i="1"/>
  <c r="P298" i="1"/>
  <c r="E298" i="1" s="1"/>
  <c r="R303" i="1"/>
  <c r="C302" i="1"/>
  <c r="AC309" i="1"/>
  <c r="AE309" i="1" s="1"/>
  <c r="Q301" i="1"/>
  <c r="B301" i="1"/>
  <c r="Y301" i="1"/>
  <c r="AB310" i="1"/>
  <c r="AD310" i="1" s="1"/>
  <c r="AA310" i="1"/>
  <c r="Z301" i="1"/>
  <c r="P299" i="1" l="1"/>
  <c r="E299" i="1" s="1"/>
  <c r="O299" i="1"/>
  <c r="N300" i="1"/>
  <c r="O300" i="1" s="1"/>
  <c r="D299" i="1"/>
  <c r="A299" i="1" s="1"/>
  <c r="AC310" i="1"/>
  <c r="AE310" i="1" s="1"/>
  <c r="V301" i="1" s="1"/>
  <c r="Q302" i="1"/>
  <c r="B302" i="1"/>
  <c r="Y302" i="1"/>
  <c r="AB311" i="1"/>
  <c r="AD311" i="1" s="1"/>
  <c r="AA311" i="1"/>
  <c r="Z302" i="1"/>
  <c r="R304" i="1"/>
  <c r="C303" i="1"/>
  <c r="X301" i="1"/>
  <c r="W301" i="1"/>
  <c r="M301" i="1"/>
  <c r="I301" i="1"/>
  <c r="H301" i="1"/>
  <c r="T301" i="1"/>
  <c r="U300" i="1"/>
  <c r="V300" i="1"/>
  <c r="S300" i="1" l="1"/>
  <c r="D300" i="1" s="1"/>
  <c r="A300" i="1" s="1"/>
  <c r="P300" i="1"/>
  <c r="E300" i="1" s="1"/>
  <c r="AC311" i="1"/>
  <c r="AE311" i="1" s="1"/>
  <c r="U302" i="1" s="1"/>
  <c r="U301" i="1"/>
  <c r="X302" i="1"/>
  <c r="W302" i="1"/>
  <c r="M302" i="1"/>
  <c r="I302" i="1"/>
  <c r="H302" i="1"/>
  <c r="J302" i="1" s="1"/>
  <c r="L302" i="1" s="1"/>
  <c r="T302" i="1"/>
  <c r="B303" i="1"/>
  <c r="Q303" i="1"/>
  <c r="Y303" i="1"/>
  <c r="AB312" i="1"/>
  <c r="AD312" i="1" s="1"/>
  <c r="Z303" i="1"/>
  <c r="AA312" i="1"/>
  <c r="C304" i="1"/>
  <c r="R305" i="1"/>
  <c r="J301" i="1"/>
  <c r="L301" i="1" s="1"/>
  <c r="N301" i="1" s="1"/>
  <c r="N302" i="1" l="1"/>
  <c r="O302" i="1" s="1"/>
  <c r="V302" i="1"/>
  <c r="AC312" i="1"/>
  <c r="AE312" i="1" s="1"/>
  <c r="V303" i="1" s="1"/>
  <c r="C305" i="1"/>
  <c r="R306" i="1"/>
  <c r="Q304" i="1"/>
  <c r="B304" i="1"/>
  <c r="Y304" i="1"/>
  <c r="AB313" i="1"/>
  <c r="AD313" i="1" s="1"/>
  <c r="AA313" i="1"/>
  <c r="Z304" i="1"/>
  <c r="W303" i="1"/>
  <c r="X303" i="1"/>
  <c r="P301" i="1"/>
  <c r="E301" i="1" s="1"/>
  <c r="O301" i="1"/>
  <c r="S301" i="1"/>
  <c r="D301" i="1" s="1"/>
  <c r="A301" i="1" s="1"/>
  <c r="I303" i="1"/>
  <c r="M303" i="1"/>
  <c r="H303" i="1"/>
  <c r="J303" i="1" s="1"/>
  <c r="L303" i="1" s="1"/>
  <c r="T303" i="1"/>
  <c r="P302" i="1" l="1"/>
  <c r="E302" i="1" s="1"/>
  <c r="N303" i="1"/>
  <c r="S303" i="1" s="1"/>
  <c r="S302" i="1"/>
  <c r="D302" i="1" s="1"/>
  <c r="A302" i="1" s="1"/>
  <c r="U303" i="1"/>
  <c r="W304" i="1"/>
  <c r="X304" i="1"/>
  <c r="M304" i="1"/>
  <c r="I304" i="1"/>
  <c r="H304" i="1"/>
  <c r="J304" i="1" s="1"/>
  <c r="L304" i="1" s="1"/>
  <c r="T304" i="1"/>
  <c r="R307" i="1"/>
  <c r="C306" i="1"/>
  <c r="B305" i="1"/>
  <c r="Q305" i="1"/>
  <c r="Y305" i="1"/>
  <c r="AB314" i="1"/>
  <c r="AD314" i="1" s="1"/>
  <c r="Z305" i="1"/>
  <c r="AA314" i="1"/>
  <c r="AC313" i="1"/>
  <c r="AE313" i="1" s="1"/>
  <c r="O303" i="1" l="1"/>
  <c r="N304" i="1"/>
  <c r="O304" i="1" s="1"/>
  <c r="P303" i="1"/>
  <c r="E303" i="1" s="1"/>
  <c r="D303" i="1"/>
  <c r="A303" i="1" s="1"/>
  <c r="AC314" i="1"/>
  <c r="AE314" i="1" s="1"/>
  <c r="V305" i="1" s="1"/>
  <c r="M305" i="1"/>
  <c r="I305" i="1"/>
  <c r="H305" i="1"/>
  <c r="J305" i="1" s="1"/>
  <c r="L305" i="1" s="1"/>
  <c r="T305" i="1"/>
  <c r="W305" i="1"/>
  <c r="X305" i="1"/>
  <c r="B306" i="1"/>
  <c r="Q306" i="1"/>
  <c r="Y306" i="1"/>
  <c r="AB315" i="1"/>
  <c r="AD315" i="1" s="1"/>
  <c r="Z306" i="1"/>
  <c r="AA315" i="1"/>
  <c r="U304" i="1"/>
  <c r="V304" i="1"/>
  <c r="R308" i="1"/>
  <c r="C307" i="1"/>
  <c r="P304" i="1" l="1"/>
  <c r="E304" i="1" s="1"/>
  <c r="S304" i="1"/>
  <c r="N305" i="1"/>
  <c r="S305" i="1" s="1"/>
  <c r="AC315" i="1"/>
  <c r="AE315" i="1" s="1"/>
  <c r="U306" i="1" s="1"/>
  <c r="U305" i="1"/>
  <c r="B307" i="1"/>
  <c r="Q307" i="1"/>
  <c r="Y307" i="1"/>
  <c r="AB316" i="1"/>
  <c r="AD316" i="1" s="1"/>
  <c r="AA316" i="1"/>
  <c r="Z307" i="1"/>
  <c r="W306" i="1"/>
  <c r="X306" i="1"/>
  <c r="H306" i="1"/>
  <c r="J306" i="1" s="1"/>
  <c r="L306" i="1" s="1"/>
  <c r="M306" i="1"/>
  <c r="I306" i="1"/>
  <c r="T306" i="1"/>
  <c r="R309" i="1"/>
  <c r="C308" i="1"/>
  <c r="D304" i="1"/>
  <c r="A304" i="1" s="1"/>
  <c r="O305" i="1" l="1"/>
  <c r="P305" i="1"/>
  <c r="E305" i="1" s="1"/>
  <c r="N306" i="1"/>
  <c r="O306" i="1" s="1"/>
  <c r="D305" i="1"/>
  <c r="A305" i="1" s="1"/>
  <c r="V306" i="1"/>
  <c r="AC316" i="1"/>
  <c r="AE316" i="1" s="1"/>
  <c r="W307" i="1"/>
  <c r="X307" i="1"/>
  <c r="I307" i="1"/>
  <c r="H307" i="1"/>
  <c r="J307" i="1" s="1"/>
  <c r="L307" i="1" s="1"/>
  <c r="M307" i="1"/>
  <c r="T307" i="1"/>
  <c r="Q308" i="1"/>
  <c r="B308" i="1"/>
  <c r="Y308" i="1"/>
  <c r="AB317" i="1"/>
  <c r="AD317" i="1" s="1"/>
  <c r="Z308" i="1"/>
  <c r="AA317" i="1"/>
  <c r="C309" i="1"/>
  <c r="R310" i="1"/>
  <c r="S306" i="1" l="1"/>
  <c r="D306" i="1" s="1"/>
  <c r="A306" i="1" s="1"/>
  <c r="P306" i="1"/>
  <c r="E306" i="1" s="1"/>
  <c r="N307" i="1"/>
  <c r="P307" i="1" s="1"/>
  <c r="AC317" i="1"/>
  <c r="AE317" i="1" s="1"/>
  <c r="B309" i="1"/>
  <c r="Q309" i="1"/>
  <c r="Y309" i="1"/>
  <c r="AB318" i="1"/>
  <c r="AD318" i="1" s="1"/>
  <c r="AA318" i="1"/>
  <c r="Z309" i="1"/>
  <c r="M308" i="1"/>
  <c r="I308" i="1"/>
  <c r="H308" i="1"/>
  <c r="J308" i="1" s="1"/>
  <c r="L308" i="1" s="1"/>
  <c r="T308" i="1"/>
  <c r="X308" i="1"/>
  <c r="W308" i="1"/>
  <c r="C310" i="1"/>
  <c r="R311" i="1"/>
  <c r="U307" i="1"/>
  <c r="V307" i="1"/>
  <c r="N308" i="1" l="1"/>
  <c r="S308" i="1" s="1"/>
  <c r="O307" i="1"/>
  <c r="S307" i="1"/>
  <c r="D307" i="1" s="1"/>
  <c r="A307" i="1" s="1"/>
  <c r="B310" i="1"/>
  <c r="Q310" i="1"/>
  <c r="Y310" i="1"/>
  <c r="AB319" i="1"/>
  <c r="AD319" i="1" s="1"/>
  <c r="Z310" i="1"/>
  <c r="AA319" i="1"/>
  <c r="AC318" i="1"/>
  <c r="AE318" i="1" s="1"/>
  <c r="W309" i="1"/>
  <c r="X309" i="1"/>
  <c r="I309" i="1"/>
  <c r="H309" i="1"/>
  <c r="J309" i="1" s="1"/>
  <c r="L309" i="1" s="1"/>
  <c r="M309" i="1"/>
  <c r="T309" i="1"/>
  <c r="O308" i="1"/>
  <c r="P308" i="1"/>
  <c r="E307" i="1"/>
  <c r="C311" i="1"/>
  <c r="R312" i="1"/>
  <c r="V308" i="1"/>
  <c r="U308" i="1"/>
  <c r="N309" i="1" l="1"/>
  <c r="S309" i="1" s="1"/>
  <c r="AC319" i="1"/>
  <c r="AE319" i="1" s="1"/>
  <c r="U310" i="1" s="1"/>
  <c r="V309" i="1"/>
  <c r="U309" i="1"/>
  <c r="D308" i="1"/>
  <c r="A308" i="1" s="1"/>
  <c r="X310" i="1"/>
  <c r="W310" i="1"/>
  <c r="E308" i="1"/>
  <c r="R313" i="1"/>
  <c r="C312" i="1"/>
  <c r="Q311" i="1"/>
  <c r="B311" i="1"/>
  <c r="Y311" i="1"/>
  <c r="AB320" i="1"/>
  <c r="AD320" i="1" s="1"/>
  <c r="AA320" i="1"/>
  <c r="Z311" i="1"/>
  <c r="M310" i="1"/>
  <c r="I310" i="1"/>
  <c r="H310" i="1"/>
  <c r="J310" i="1" s="1"/>
  <c r="L310" i="1" s="1"/>
  <c r="T310" i="1"/>
  <c r="P309" i="1" l="1"/>
  <c r="O309" i="1"/>
  <c r="N310" i="1"/>
  <c r="S310" i="1" s="1"/>
  <c r="D310" i="1" s="1"/>
  <c r="A310" i="1" s="1"/>
  <c r="AC320" i="1"/>
  <c r="AE320" i="1" s="1"/>
  <c r="U311" i="1" s="1"/>
  <c r="V310" i="1"/>
  <c r="M311" i="1"/>
  <c r="I311" i="1"/>
  <c r="H311" i="1"/>
  <c r="J311" i="1" s="1"/>
  <c r="L311" i="1" s="1"/>
  <c r="T311" i="1"/>
  <c r="Q312" i="1"/>
  <c r="B312" i="1"/>
  <c r="Y312" i="1"/>
  <c r="AB321" i="1"/>
  <c r="AD321" i="1" s="1"/>
  <c r="Z312" i="1"/>
  <c r="AA321" i="1"/>
  <c r="D309" i="1"/>
  <c r="A309" i="1" s="1"/>
  <c r="W311" i="1"/>
  <c r="X311" i="1"/>
  <c r="R314" i="1"/>
  <c r="C313" i="1"/>
  <c r="E309" i="1"/>
  <c r="N311" i="1" l="1"/>
  <c r="O311" i="1" s="1"/>
  <c r="P310" i="1"/>
  <c r="O310" i="1"/>
  <c r="V311" i="1"/>
  <c r="AC321" i="1"/>
  <c r="AE321" i="1" s="1"/>
  <c r="U312" i="1" s="1"/>
  <c r="E310" i="1"/>
  <c r="M312" i="1"/>
  <c r="I312" i="1"/>
  <c r="H312" i="1"/>
  <c r="J312" i="1" s="1"/>
  <c r="L312" i="1" s="1"/>
  <c r="T312" i="1"/>
  <c r="B313" i="1"/>
  <c r="Q313" i="1"/>
  <c r="Y313" i="1"/>
  <c r="AB322" i="1"/>
  <c r="AD322" i="1" s="1"/>
  <c r="Z313" i="1"/>
  <c r="AA322" i="1"/>
  <c r="C314" i="1"/>
  <c r="R315" i="1"/>
  <c r="X312" i="1"/>
  <c r="W312" i="1"/>
  <c r="S311" i="1" l="1"/>
  <c r="D311" i="1" s="1"/>
  <c r="A311" i="1" s="1"/>
  <c r="P311" i="1"/>
  <c r="E311" i="1" s="1"/>
  <c r="V312" i="1"/>
  <c r="AC322" i="1"/>
  <c r="AE322" i="1" s="1"/>
  <c r="U313" i="1" s="1"/>
  <c r="N312" i="1"/>
  <c r="W313" i="1"/>
  <c r="X313" i="1"/>
  <c r="I313" i="1"/>
  <c r="M313" i="1"/>
  <c r="H313" i="1"/>
  <c r="T313" i="1"/>
  <c r="B314" i="1"/>
  <c r="Q314" i="1"/>
  <c r="Y314" i="1"/>
  <c r="AB323" i="1"/>
  <c r="AD323" i="1" s="1"/>
  <c r="Z314" i="1"/>
  <c r="AA323" i="1"/>
  <c r="R316" i="1"/>
  <c r="C315" i="1"/>
  <c r="V313" i="1" l="1"/>
  <c r="J313" i="1"/>
  <c r="L313" i="1" s="1"/>
  <c r="N313" i="1" s="1"/>
  <c r="AC323" i="1"/>
  <c r="AE323" i="1" s="1"/>
  <c r="X314" i="1"/>
  <c r="W314" i="1"/>
  <c r="H314" i="1"/>
  <c r="I314" i="1"/>
  <c r="M314" i="1"/>
  <c r="T314" i="1"/>
  <c r="Q315" i="1"/>
  <c r="B315" i="1"/>
  <c r="Y315" i="1"/>
  <c r="AB324" i="1"/>
  <c r="AD324" i="1" s="1"/>
  <c r="Z315" i="1"/>
  <c r="AA324" i="1"/>
  <c r="R317" i="1"/>
  <c r="C316" i="1"/>
  <c r="S312" i="1"/>
  <c r="D312" i="1" s="1"/>
  <c r="A312" i="1" s="1"/>
  <c r="O312" i="1"/>
  <c r="P312" i="1"/>
  <c r="E312" i="1" s="1"/>
  <c r="R318" i="1" l="1"/>
  <c r="C317" i="1"/>
  <c r="J314" i="1"/>
  <c r="L314" i="1" s="1"/>
  <c r="N314" i="1" s="1"/>
  <c r="V314" i="1"/>
  <c r="U314" i="1"/>
  <c r="W315" i="1"/>
  <c r="X315" i="1"/>
  <c r="H315" i="1"/>
  <c r="J315" i="1" s="1"/>
  <c r="L315" i="1" s="1"/>
  <c r="N315" i="1" s="1"/>
  <c r="M315" i="1"/>
  <c r="I315" i="1"/>
  <c r="T315" i="1"/>
  <c r="AC324" i="1"/>
  <c r="AE324" i="1" s="1"/>
  <c r="B316" i="1"/>
  <c r="Q316" i="1"/>
  <c r="Y316" i="1"/>
  <c r="AB325" i="1"/>
  <c r="AD325" i="1" s="1"/>
  <c r="Z316" i="1"/>
  <c r="AA325" i="1"/>
  <c r="O313" i="1"/>
  <c r="S313" i="1"/>
  <c r="D313" i="1" s="1"/>
  <c r="A313" i="1" s="1"/>
  <c r="P313" i="1"/>
  <c r="E313" i="1" s="1"/>
  <c r="S315" i="1" l="1"/>
  <c r="P315" i="1"/>
  <c r="O315" i="1"/>
  <c r="W316" i="1"/>
  <c r="X316" i="1"/>
  <c r="M316" i="1"/>
  <c r="I316" i="1"/>
  <c r="H316" i="1"/>
  <c r="J316" i="1" s="1"/>
  <c r="L316" i="1" s="1"/>
  <c r="T316" i="1"/>
  <c r="U315" i="1"/>
  <c r="D315" i="1" s="1"/>
  <c r="A315" i="1" s="1"/>
  <c r="V315" i="1"/>
  <c r="E315" i="1" s="1"/>
  <c r="P314" i="1"/>
  <c r="E314" i="1" s="1"/>
  <c r="S314" i="1"/>
  <c r="D314" i="1" s="1"/>
  <c r="A314" i="1" s="1"/>
  <c r="O314" i="1"/>
  <c r="B317" i="1"/>
  <c r="Q317" i="1"/>
  <c r="Y317" i="1"/>
  <c r="AB326" i="1"/>
  <c r="AD326" i="1" s="1"/>
  <c r="AA326" i="1"/>
  <c r="Z317" i="1"/>
  <c r="AC325" i="1"/>
  <c r="AE325" i="1" s="1"/>
  <c r="C318" i="1"/>
  <c r="R319" i="1"/>
  <c r="N316" i="1" l="1"/>
  <c r="S316" i="1" s="1"/>
  <c r="AC326" i="1"/>
  <c r="AE326" i="1" s="1"/>
  <c r="U317" i="1" s="1"/>
  <c r="B318" i="1"/>
  <c r="Q318" i="1"/>
  <c r="Y318" i="1"/>
  <c r="AB327" i="1"/>
  <c r="AD327" i="1" s="1"/>
  <c r="AA327" i="1"/>
  <c r="Z318" i="1"/>
  <c r="U316" i="1"/>
  <c r="V316" i="1"/>
  <c r="X317" i="1"/>
  <c r="W317" i="1"/>
  <c r="M317" i="1"/>
  <c r="I317" i="1"/>
  <c r="H317" i="1"/>
  <c r="T317" i="1"/>
  <c r="R320" i="1"/>
  <c r="C319" i="1"/>
  <c r="O316" i="1" l="1"/>
  <c r="P316" i="1"/>
  <c r="E316" i="1" s="1"/>
  <c r="D316" i="1"/>
  <c r="A316" i="1" s="1"/>
  <c r="V317" i="1"/>
  <c r="X318" i="1"/>
  <c r="W318" i="1"/>
  <c r="I318" i="1"/>
  <c r="M318" i="1"/>
  <c r="H318" i="1"/>
  <c r="J318" i="1" s="1"/>
  <c r="L318" i="1" s="1"/>
  <c r="T318" i="1"/>
  <c r="Q319" i="1"/>
  <c r="B319" i="1"/>
  <c r="Y319" i="1"/>
  <c r="AB328" i="1"/>
  <c r="AD328" i="1" s="1"/>
  <c r="AA328" i="1"/>
  <c r="Z319" i="1"/>
  <c r="C320" i="1"/>
  <c r="R321" i="1"/>
  <c r="J317" i="1"/>
  <c r="L317" i="1" s="1"/>
  <c r="N317" i="1" s="1"/>
  <c r="AC327" i="1"/>
  <c r="AE327" i="1" s="1"/>
  <c r="N318" i="1" l="1"/>
  <c r="S318" i="1" s="1"/>
  <c r="O317" i="1"/>
  <c r="P317" i="1"/>
  <c r="E317" i="1" s="1"/>
  <c r="S317" i="1"/>
  <c r="D317" i="1" s="1"/>
  <c r="A317" i="1" s="1"/>
  <c r="M319" i="1"/>
  <c r="H319" i="1"/>
  <c r="I319" i="1"/>
  <c r="T319" i="1"/>
  <c r="R322" i="1"/>
  <c r="C321" i="1"/>
  <c r="Q320" i="1"/>
  <c r="B320" i="1"/>
  <c r="Y320" i="1"/>
  <c r="AB329" i="1"/>
  <c r="AD329" i="1" s="1"/>
  <c r="Z320" i="1"/>
  <c r="AA329" i="1"/>
  <c r="AC328" i="1"/>
  <c r="AE328" i="1" s="1"/>
  <c r="U318" i="1"/>
  <c r="V318" i="1"/>
  <c r="W319" i="1"/>
  <c r="X319" i="1"/>
  <c r="O318" i="1" l="1"/>
  <c r="P318" i="1"/>
  <c r="E318" i="1" s="1"/>
  <c r="D318" i="1"/>
  <c r="A318" i="1" s="1"/>
  <c r="X320" i="1"/>
  <c r="W320" i="1"/>
  <c r="R323" i="1"/>
  <c r="C322" i="1"/>
  <c r="J319" i="1"/>
  <c r="L319" i="1" s="1"/>
  <c r="N319" i="1" s="1"/>
  <c r="M320" i="1"/>
  <c r="I320" i="1"/>
  <c r="H320" i="1"/>
  <c r="J320" i="1" s="1"/>
  <c r="L320" i="1" s="1"/>
  <c r="T320" i="1"/>
  <c r="U319" i="1"/>
  <c r="V319" i="1"/>
  <c r="AC329" i="1"/>
  <c r="AE329" i="1" s="1"/>
  <c r="B321" i="1"/>
  <c r="Q321" i="1"/>
  <c r="Y321" i="1"/>
  <c r="AB330" i="1"/>
  <c r="AD330" i="1" s="1"/>
  <c r="AA330" i="1"/>
  <c r="Z321" i="1"/>
  <c r="N320" i="1" l="1"/>
  <c r="O320" i="1" s="1"/>
  <c r="O319" i="1"/>
  <c r="S319" i="1"/>
  <c r="D319" i="1" s="1"/>
  <c r="A319" i="1" s="1"/>
  <c r="P319" i="1"/>
  <c r="E319" i="1" s="1"/>
  <c r="V320" i="1"/>
  <c r="U320" i="1"/>
  <c r="Q322" i="1"/>
  <c r="B322" i="1"/>
  <c r="Y322" i="1"/>
  <c r="AB331" i="1"/>
  <c r="AD331" i="1" s="1"/>
  <c r="AA331" i="1"/>
  <c r="Z322" i="1"/>
  <c r="X321" i="1"/>
  <c r="W321" i="1"/>
  <c r="I321" i="1"/>
  <c r="H321" i="1"/>
  <c r="J321" i="1" s="1"/>
  <c r="L321" i="1" s="1"/>
  <c r="M321" i="1"/>
  <c r="T321" i="1"/>
  <c r="R324" i="1"/>
  <c r="C323" i="1"/>
  <c r="AC330" i="1"/>
  <c r="AE330" i="1" s="1"/>
  <c r="P320" i="1" l="1"/>
  <c r="E320" i="1" s="1"/>
  <c r="S320" i="1"/>
  <c r="D320" i="1" s="1"/>
  <c r="A320" i="1" s="1"/>
  <c r="N321" i="1"/>
  <c r="S321" i="1" s="1"/>
  <c r="V321" i="1"/>
  <c r="U321" i="1"/>
  <c r="Y323" i="1"/>
  <c r="B323" i="1"/>
  <c r="Q323" i="1"/>
  <c r="AB332" i="1"/>
  <c r="AD332" i="1" s="1"/>
  <c r="Z323" i="1"/>
  <c r="AA332" i="1"/>
  <c r="AC331" i="1"/>
  <c r="AE331" i="1" s="1"/>
  <c r="W322" i="1"/>
  <c r="X322" i="1"/>
  <c r="C324" i="1"/>
  <c r="R325" i="1"/>
  <c r="M322" i="1"/>
  <c r="H322" i="1"/>
  <c r="I322" i="1"/>
  <c r="T322" i="1"/>
  <c r="P321" i="1" l="1"/>
  <c r="O321" i="1"/>
  <c r="AC332" i="1"/>
  <c r="AE332" i="1" s="1"/>
  <c r="B324" i="1"/>
  <c r="Q324" i="1"/>
  <c r="Y324" i="1"/>
  <c r="AB333" i="1"/>
  <c r="AD333" i="1" s="1"/>
  <c r="Z324" i="1"/>
  <c r="AA333" i="1"/>
  <c r="I323" i="1"/>
  <c r="H323" i="1"/>
  <c r="J323" i="1" s="1"/>
  <c r="L323" i="1" s="1"/>
  <c r="N323" i="1" s="1"/>
  <c r="M323" i="1"/>
  <c r="T323" i="1"/>
  <c r="R326" i="1"/>
  <c r="C325" i="1"/>
  <c r="W323" i="1"/>
  <c r="X323" i="1"/>
  <c r="J322" i="1"/>
  <c r="L322" i="1" s="1"/>
  <c r="N322" i="1" s="1"/>
  <c r="D321" i="1"/>
  <c r="A321" i="1" s="1"/>
  <c r="V322" i="1"/>
  <c r="U322" i="1"/>
  <c r="E321" i="1"/>
  <c r="AC333" i="1" l="1"/>
  <c r="AE333" i="1" s="1"/>
  <c r="V324" i="1" s="1"/>
  <c r="O323" i="1"/>
  <c r="P323" i="1"/>
  <c r="S323" i="1"/>
  <c r="X324" i="1"/>
  <c r="W324" i="1"/>
  <c r="Q325" i="1"/>
  <c r="B325" i="1"/>
  <c r="Y325" i="1"/>
  <c r="AB334" i="1"/>
  <c r="AD334" i="1" s="1"/>
  <c r="Z325" i="1"/>
  <c r="AA334" i="1"/>
  <c r="R327" i="1"/>
  <c r="C326" i="1"/>
  <c r="M324" i="1"/>
  <c r="I324" i="1"/>
  <c r="H324" i="1"/>
  <c r="J324" i="1" s="1"/>
  <c r="L324" i="1" s="1"/>
  <c r="T324" i="1"/>
  <c r="O322" i="1"/>
  <c r="P322" i="1"/>
  <c r="E322" i="1" s="1"/>
  <c r="S322" i="1"/>
  <c r="D322" i="1" s="1"/>
  <c r="A322" i="1" s="1"/>
  <c r="U323" i="1"/>
  <c r="D323" i="1" s="1"/>
  <c r="A323" i="1" s="1"/>
  <c r="V323" i="1"/>
  <c r="E323" i="1" s="1"/>
  <c r="N324" i="1" l="1"/>
  <c r="O324" i="1" s="1"/>
  <c r="U324" i="1"/>
  <c r="M325" i="1"/>
  <c r="I325" i="1"/>
  <c r="H325" i="1"/>
  <c r="J325" i="1" s="1"/>
  <c r="L325" i="1" s="1"/>
  <c r="T325" i="1"/>
  <c r="Q326" i="1"/>
  <c r="B326" i="1"/>
  <c r="Y326" i="1"/>
  <c r="AB335" i="1"/>
  <c r="AD335" i="1" s="1"/>
  <c r="AA335" i="1"/>
  <c r="Z326" i="1"/>
  <c r="C327" i="1"/>
  <c r="R328" i="1"/>
  <c r="AC334" i="1"/>
  <c r="AE334" i="1" s="1"/>
  <c r="W325" i="1"/>
  <c r="X325" i="1"/>
  <c r="N325" i="1" l="1"/>
  <c r="P325" i="1" s="1"/>
  <c r="S324" i="1"/>
  <c r="D324" i="1" s="1"/>
  <c r="A324" i="1" s="1"/>
  <c r="P324" i="1"/>
  <c r="E324" i="1" s="1"/>
  <c r="AC335" i="1"/>
  <c r="AE335" i="1" s="1"/>
  <c r="B327" i="1"/>
  <c r="Q327" i="1"/>
  <c r="Y327" i="1"/>
  <c r="AB336" i="1"/>
  <c r="AD336" i="1" s="1"/>
  <c r="Z327" i="1"/>
  <c r="AA336" i="1"/>
  <c r="M326" i="1"/>
  <c r="I326" i="1"/>
  <c r="H326" i="1"/>
  <c r="J326" i="1" s="1"/>
  <c r="L326" i="1" s="1"/>
  <c r="T326" i="1"/>
  <c r="C328" i="1"/>
  <c r="R329" i="1"/>
  <c r="W326" i="1"/>
  <c r="X326" i="1"/>
  <c r="V325" i="1"/>
  <c r="U325" i="1"/>
  <c r="O325" i="1" l="1"/>
  <c r="S325" i="1"/>
  <c r="D325" i="1" s="1"/>
  <c r="A325" i="1" s="1"/>
  <c r="E325" i="1"/>
  <c r="N326" i="1"/>
  <c r="O326" i="1" s="1"/>
  <c r="AC336" i="1"/>
  <c r="AE336" i="1" s="1"/>
  <c r="U327" i="1" s="1"/>
  <c r="X327" i="1"/>
  <c r="W327" i="1"/>
  <c r="C329" i="1"/>
  <c r="R330" i="1"/>
  <c r="C330" i="1" s="1"/>
  <c r="Q328" i="1"/>
  <c r="B328" i="1"/>
  <c r="Y328" i="1"/>
  <c r="AB337" i="1"/>
  <c r="AD337" i="1" s="1"/>
  <c r="AA337" i="1"/>
  <c r="Z328" i="1"/>
  <c r="M327" i="1"/>
  <c r="I327" i="1"/>
  <c r="H327" i="1"/>
  <c r="T327" i="1"/>
  <c r="V326" i="1"/>
  <c r="U326" i="1"/>
  <c r="S326" i="1" l="1"/>
  <c r="P326" i="1"/>
  <c r="E326" i="1" s="1"/>
  <c r="V327" i="1"/>
  <c r="AC337" i="1"/>
  <c r="AE337" i="1" s="1"/>
  <c r="V328" i="1" s="1"/>
  <c r="J327" i="1"/>
  <c r="L327" i="1" s="1"/>
  <c r="N327" i="1" s="1"/>
  <c r="H328" i="1"/>
  <c r="I328" i="1"/>
  <c r="M328" i="1"/>
  <c r="T328" i="1"/>
  <c r="B330" i="1"/>
  <c r="Q330" i="1"/>
  <c r="Y330" i="1"/>
  <c r="AB339" i="1"/>
  <c r="AD339" i="1" s="1"/>
  <c r="AA339" i="1"/>
  <c r="Z330" i="1"/>
  <c r="D326" i="1"/>
  <c r="A326" i="1" s="1"/>
  <c r="B329" i="1"/>
  <c r="Q329" i="1"/>
  <c r="Y329" i="1"/>
  <c r="AB338" i="1"/>
  <c r="AD338" i="1" s="1"/>
  <c r="Z329" i="1"/>
  <c r="AA338" i="1"/>
  <c r="X328" i="1"/>
  <c r="W328" i="1"/>
  <c r="AC338" i="1" l="1"/>
  <c r="AE338" i="1" s="1"/>
  <c r="V329" i="1" s="1"/>
  <c r="U328" i="1"/>
  <c r="X329" i="1"/>
  <c r="W329" i="1"/>
  <c r="M330" i="1"/>
  <c r="I330" i="1"/>
  <c r="H330" i="1"/>
  <c r="J330" i="1" s="1"/>
  <c r="L330" i="1" s="1"/>
  <c r="T330" i="1"/>
  <c r="I329" i="1"/>
  <c r="M329" i="1"/>
  <c r="H329" i="1"/>
  <c r="J329" i="1" s="1"/>
  <c r="L329" i="1" s="1"/>
  <c r="T329" i="1"/>
  <c r="W330" i="1"/>
  <c r="X330" i="1"/>
  <c r="AC339" i="1"/>
  <c r="AE339" i="1" s="1"/>
  <c r="J328" i="1"/>
  <c r="L328" i="1" s="1"/>
  <c r="N328" i="1" s="1"/>
  <c r="S327" i="1"/>
  <c r="D327" i="1" s="1"/>
  <c r="A327" i="1" s="1"/>
  <c r="O327" i="1"/>
  <c r="P327" i="1"/>
  <c r="E327" i="1" s="1"/>
  <c r="N330" i="1" l="1"/>
  <c r="O330" i="1" s="1"/>
  <c r="N329" i="1"/>
  <c r="P329" i="1" s="1"/>
  <c r="E329" i="1" s="1"/>
  <c r="U329" i="1"/>
  <c r="O328" i="1"/>
  <c r="P328" i="1"/>
  <c r="E328" i="1" s="1"/>
  <c r="S328" i="1"/>
  <c r="D328" i="1" s="1"/>
  <c r="A328" i="1" s="1"/>
  <c r="U330" i="1"/>
  <c r="V330" i="1"/>
  <c r="O329" i="1" l="1"/>
  <c r="S329" i="1"/>
  <c r="D329" i="1" s="1"/>
  <c r="A329" i="1" s="1"/>
  <c r="P330" i="1"/>
  <c r="E330" i="1" s="1"/>
  <c r="S330" i="1"/>
  <c r="D330" i="1" s="1"/>
  <c r="A330" i="1" s="1"/>
  <c r="D73" i="1" l="1"/>
  <c r="G74" i="1" s="1"/>
  <c r="D74" i="1"/>
  <c r="F74" i="1" l="1"/>
  <c r="D75" i="1" s="1"/>
  <c r="F75" i="1" l="1"/>
  <c r="G75" i="1"/>
  <c r="I75" i="1" l="1"/>
  <c r="D76" i="1" s="1"/>
  <c r="J19" i="1" s="1"/>
  <c r="I74" i="1"/>
  <c r="F46" i="1" l="1"/>
  <c r="F51" i="1"/>
  <c r="J75" i="1"/>
  <c r="G76" i="1" s="1"/>
  <c r="F47" i="1" l="1"/>
  <c r="F48" i="1"/>
  <c r="H47" i="1"/>
  <c r="H48" i="1" s="1"/>
  <c r="H49" i="1"/>
  <c r="G49" i="1"/>
  <c r="I49" i="1" l="1"/>
  <c r="F50" i="1" s="1"/>
  <c r="J20" i="1" s="1"/>
  <c r="F49" i="1" l="1"/>
</calcChain>
</file>

<file path=xl/sharedStrings.xml><?xml version="1.0" encoding="utf-8"?>
<sst xmlns="http://schemas.openxmlformats.org/spreadsheetml/2006/main" count="245" uniqueCount="194">
  <si>
    <t>VIN</t>
  </si>
  <si>
    <t>VRAMP</t>
  </si>
  <si>
    <t>w</t>
  </si>
  <si>
    <t>V</t>
  </si>
  <si>
    <t>f</t>
  </si>
  <si>
    <t>ERROR AMPLIFIER</t>
  </si>
  <si>
    <t>DCR</t>
  </si>
  <si>
    <t>ROUT_min</t>
  </si>
  <si>
    <t>IOUT_max</t>
  </si>
  <si>
    <t>VOUT</t>
  </si>
  <si>
    <t>LOUT</t>
  </si>
  <si>
    <t>Fp_2</t>
  </si>
  <si>
    <t>Fp_1</t>
  </si>
  <si>
    <t>Fz_2</t>
  </si>
  <si>
    <t>Fz_1</t>
  </si>
  <si>
    <t>R_1</t>
  </si>
  <si>
    <t>R_2</t>
  </si>
  <si>
    <t>R_3</t>
  </si>
  <si>
    <t>C_1</t>
  </si>
  <si>
    <t>C_2</t>
  </si>
  <si>
    <t>C_3</t>
  </si>
  <si>
    <t>VREF</t>
  </si>
  <si>
    <t>Ohms</t>
  </si>
  <si>
    <t>pF</t>
  </si>
  <si>
    <t>Hz</t>
  </si>
  <si>
    <t>Numerator 1</t>
  </si>
  <si>
    <t>OVERALL SYSTEM</t>
  </si>
  <si>
    <t>GBWP</t>
  </si>
  <si>
    <t>Mhz</t>
  </si>
  <si>
    <t>GBWP limit</t>
  </si>
  <si>
    <t>DC Gain</t>
  </si>
  <si>
    <t>dB</t>
  </si>
  <si>
    <t>A</t>
  </si>
  <si>
    <t>PSU Parameters</t>
  </si>
  <si>
    <t>Output Inductor</t>
  </si>
  <si>
    <t>°</t>
  </si>
  <si>
    <t>kHz</t>
  </si>
  <si>
    <t>Fco</t>
  </si>
  <si>
    <t>Output Ceramic Capacitor</t>
  </si>
  <si>
    <t>Phase Margin</t>
  </si>
  <si>
    <t>FILTER</t>
  </si>
  <si>
    <t>VIN/VRMP</t>
  </si>
  <si>
    <t>GCO_DBMAG(f)</t>
  </si>
  <si>
    <t>GFILT_DBMAG(f)</t>
  </si>
  <si>
    <t>GFILT_PH(f)</t>
  </si>
  <si>
    <t>wCO</t>
  </si>
  <si>
    <t>GCOMP_FCO</t>
  </si>
  <si>
    <t>GCO_FCO</t>
  </si>
  <si>
    <t>PHCO_FCO</t>
  </si>
  <si>
    <t>kVenable</t>
  </si>
  <si>
    <t>EA_Gain(f) dB</t>
  </si>
  <si>
    <t>EA_Phase f)</t>
  </si>
  <si>
    <t>Results</t>
  </si>
  <si>
    <t>Phase at FCO</t>
  </si>
  <si>
    <t>SYS_Gain (f) dB</t>
  </si>
  <si>
    <t>SYS_Phase (f)</t>
  </si>
  <si>
    <t>Resistors</t>
  </si>
  <si>
    <t>Capacitors</t>
  </si>
  <si>
    <t>E24</t>
  </si>
  <si>
    <t>E48</t>
  </si>
  <si>
    <t>IC Parameters (from data sheet)</t>
  </si>
  <si>
    <t>COUT_ELEC</t>
  </si>
  <si>
    <t>ESR_ELEC</t>
  </si>
  <si>
    <t>COUT_CER</t>
  </si>
  <si>
    <t>ESR_CER</t>
  </si>
  <si>
    <r>
      <t xml:space="preserve">Ensure </t>
    </r>
    <r>
      <rPr>
        <b/>
        <sz val="10"/>
        <rFont val="Arial"/>
        <family val="2"/>
      </rPr>
      <t>Tools</t>
    </r>
    <r>
      <rPr>
        <sz val="10"/>
        <rFont val="Arial"/>
        <family val="2"/>
      </rPr>
      <t xml:space="preserve"> =&gt; </t>
    </r>
    <r>
      <rPr>
        <b/>
        <sz val="10"/>
        <rFont val="Arial"/>
        <family val="2"/>
      </rPr>
      <t>Add Ins</t>
    </r>
    <r>
      <rPr>
        <sz val="10"/>
        <rFont val="Arial"/>
        <family val="2"/>
      </rPr>
      <t xml:space="preserve"> =&gt; </t>
    </r>
    <r>
      <rPr>
        <b/>
        <sz val="10"/>
        <rFont val="Arial"/>
        <family val="2"/>
      </rPr>
      <t>Analysis ToolPak</t>
    </r>
    <r>
      <rPr>
        <sz val="10"/>
        <rFont val="Arial"/>
        <family val="2"/>
      </rPr>
      <t xml:space="preserve"> is selected otherwise spreadsheet will not work</t>
    </r>
  </si>
  <si>
    <t>EA_Phase</t>
  </si>
  <si>
    <t>EA_Gain dB</t>
  </si>
  <si>
    <t>R_bias</t>
  </si>
  <si>
    <t>C values up to 10nF</t>
  </si>
  <si>
    <t>TPS40200</t>
  </si>
  <si>
    <t>TPS40190</t>
  </si>
  <si>
    <t>TPS40040</t>
  </si>
  <si>
    <t>TPS40101</t>
  </si>
  <si>
    <t>TPS40195</t>
  </si>
  <si>
    <t>TPS40041</t>
  </si>
  <si>
    <t>Standard R and C values for final circuit.</t>
  </si>
  <si>
    <t>C values greater than 10nF</t>
  </si>
  <si>
    <t>Yes</t>
  </si>
  <si>
    <t>No</t>
  </si>
  <si>
    <t>Using this spreadsheet</t>
  </si>
  <si>
    <t>Blue cells are the final results for the design and plots</t>
  </si>
  <si>
    <t>Power Supply General Parameters</t>
  </si>
  <si>
    <t>Loop Requirements</t>
  </si>
  <si>
    <t>Output Filter Parameters</t>
  </si>
  <si>
    <t>White cells are the calculated results</t>
  </si>
  <si>
    <t>Getting Started:</t>
  </si>
  <si>
    <t>Required Data:</t>
  </si>
  <si>
    <t>Procedure:</t>
  </si>
  <si>
    <t>Green Cells show where manually entered data is placed</t>
  </si>
  <si>
    <t>Input voltage in Volts</t>
  </si>
  <si>
    <t>Output voltage Volts</t>
  </si>
  <si>
    <t>Output current in Amps</t>
  </si>
  <si>
    <t>Output inductor value in micro Henries</t>
  </si>
  <si>
    <t>W</t>
  </si>
  <si>
    <r>
      <t xml:space="preserve">Controller part number </t>
    </r>
    <r>
      <rPr>
        <sz val="10"/>
        <rFont val="Arial"/>
        <family val="2"/>
      </rPr>
      <t>(select from pull down list)</t>
    </r>
  </si>
  <si>
    <t>Output inductor DC resistance in milliohms</t>
  </si>
  <si>
    <t>Ceramic capacitor equivalent series resistance in milliohms</t>
  </si>
  <si>
    <t>PWM GAIN and FILTER</t>
  </si>
  <si>
    <r>
      <t>See "</t>
    </r>
    <r>
      <rPr>
        <b/>
        <sz val="10"/>
        <rFont val="Arial"/>
        <family val="2"/>
      </rPr>
      <t>Instructions</t>
    </r>
    <r>
      <rPr>
        <sz val="10"/>
        <rFont val="Arial"/>
        <family val="2"/>
      </rPr>
      <t>" sheet for details on using this spreadsheet.</t>
    </r>
  </si>
  <si>
    <t>Applicable Parts</t>
  </si>
  <si>
    <t>FCO actual</t>
  </si>
  <si>
    <t>Enter data in relevant cells on sheet titled "Input and Results"</t>
  </si>
  <si>
    <t>All data is entered and results viewed on the "Input and Results" worksheet</t>
  </si>
  <si>
    <t>P/N</t>
  </si>
  <si>
    <t>Vout (nom)</t>
  </si>
  <si>
    <t>Override IC Parameters</t>
  </si>
  <si>
    <t>Output Electrolytic Capacitor</t>
  </si>
  <si>
    <t>This spreadsheet will help the engineer calculate the compensation network for a voltage mode continuous current non isolated buck converter using type III compensation network.</t>
  </si>
  <si>
    <t>Calculated Zero's, Pole's, R's and C's:</t>
  </si>
  <si>
    <t>R's &amp; C's:</t>
  </si>
  <si>
    <t>Manually enter</t>
  </si>
  <si>
    <t>P's and Z's:</t>
  </si>
  <si>
    <t>μH</t>
  </si>
  <si>
    <t>μF</t>
  </si>
  <si>
    <t>mΩ</t>
  </si>
  <si>
    <t>Set "Manually input R's &amp; C's:" to "No" (Cell K4)</t>
  </si>
  <si>
    <t>Cross over frequency in kHz, recommend 1/5th to 1/10th the switching frequency</t>
  </si>
  <si>
    <t>Phase margin in degrees, recommend 60°</t>
  </si>
  <si>
    <t>User can also manually input zero and pole locations by using cells J14 to J17 and selecting K13 = Yes</t>
  </si>
  <si>
    <t>Select IC part number from pull down menu (Cell B18)</t>
  </si>
  <si>
    <t>LC Double Pole</t>
  </si>
  <si>
    <t>Ceramic ESR Zero</t>
  </si>
  <si>
    <t>Electrolytic ESR Zero</t>
  </si>
  <si>
    <t>Power Train Poles and Zeros</t>
  </si>
  <si>
    <t>The user can now modify the power supply parameters with a fixed compensation network</t>
  </si>
  <si>
    <r>
      <t>b.</t>
    </r>
    <r>
      <rPr>
        <sz val="10"/>
        <rFont val="Arial"/>
        <family val="2"/>
      </rPr>
      <t xml:space="preserve"> Sets "Manually input R's &amp; C's:" to "Yes"</t>
    </r>
  </si>
  <si>
    <r>
      <t>a.</t>
    </r>
    <r>
      <rPr>
        <sz val="10"/>
        <rFont val="Arial"/>
        <family val="2"/>
      </rPr>
      <t xml:space="preserve"> Copy the R's and C's from Cells G13-G19 to cells J5-J11.</t>
    </r>
  </si>
  <si>
    <t>ZC1(s)</t>
  </si>
  <si>
    <t>ZC2(s)</t>
  </si>
  <si>
    <t>ZC(s)</t>
  </si>
  <si>
    <t>Z2(s)</t>
  </si>
  <si>
    <t>Z1(s)</t>
  </si>
  <si>
    <t>X_LC</t>
  </si>
  <si>
    <t>RT</t>
  </si>
  <si>
    <t>RKFF</t>
  </si>
  <si>
    <t>TPS40077</t>
  </si>
  <si>
    <t>Qty:</t>
  </si>
  <si>
    <t>Output electrolytic capacitor value in micro Farads (set Qty. to 0 if not used)</t>
  </si>
  <si>
    <t>Electrolytic capacitor equivalent series resistance in milliohms</t>
  </si>
  <si>
    <t>Output ceramic capacitor value in micro Farads (set Qty. to 0 if not used)</t>
  </si>
  <si>
    <t>Xea_ol(f)</t>
  </si>
  <si>
    <t>X1(f)</t>
  </si>
  <si>
    <t>X2(f)</t>
  </si>
  <si>
    <t>X3(f)</t>
  </si>
  <si>
    <t>Zf(f)</t>
  </si>
  <si>
    <t>Zi(f)</t>
  </si>
  <si>
    <t>Xea_cl(f)</t>
  </si>
  <si>
    <t>Error Amp pole</t>
  </si>
  <si>
    <t>GBWP Phase</t>
  </si>
  <si>
    <t>DCGAIN</t>
  </si>
  <si>
    <t>MHz</t>
  </si>
  <si>
    <t>Phase</t>
  </si>
  <si>
    <t>FCO</t>
  </si>
  <si>
    <t>TPS40192</t>
  </si>
  <si>
    <t>TPS40193</t>
  </si>
  <si>
    <t>Results are shown in the blue cells</t>
  </si>
  <si>
    <t>To keep these calculated results click on green box "Copy Std. Values to Man. Values" this will</t>
  </si>
  <si>
    <t>Select IC</t>
  </si>
  <si>
    <t>Nancy's Values</t>
  </si>
  <si>
    <t>TPS5130</t>
  </si>
  <si>
    <t>dVagc</t>
  </si>
  <si>
    <t>I1max</t>
  </si>
  <si>
    <t>I1min</t>
  </si>
  <si>
    <t>TPS5130 Ramp calculations</t>
  </si>
  <si>
    <t>TPS53311</t>
  </si>
  <si>
    <t>TPS40322</t>
  </si>
  <si>
    <t>TPS40007</t>
  </si>
  <si>
    <t>TPS40009</t>
  </si>
  <si>
    <t>TPS40021</t>
  </si>
  <si>
    <t>TPS40055</t>
  </si>
  <si>
    <t>TPS40057</t>
  </si>
  <si>
    <t>TPS40075</t>
  </si>
  <si>
    <t>TPS40170</t>
  </si>
  <si>
    <t>TPS40303</t>
  </si>
  <si>
    <t>TPS40304</t>
  </si>
  <si>
    <t>TPS40305</t>
  </si>
  <si>
    <t>TPS56121</t>
  </si>
  <si>
    <t>TPS56221</t>
  </si>
  <si>
    <r>
      <t xml:space="preserve">a. </t>
    </r>
    <r>
      <rPr>
        <sz val="10"/>
        <rFont val="Arial"/>
        <family val="2"/>
      </rPr>
      <t>if using the TPS4005X or TPS4007x you should enter the RT and RKFF values in cells B21 and B22</t>
    </r>
  </si>
  <si>
    <t>TPS40400</t>
  </si>
  <si>
    <t xml:space="preserve">fsw = </t>
  </si>
  <si>
    <r>
      <t xml:space="preserve">b. </t>
    </r>
    <r>
      <rPr>
        <sz val="10"/>
        <rFont val="Arial"/>
        <family val="2"/>
      </rPr>
      <t>if using the TPS40400 you need to enter the switching frequency (in kHz) is cell B21</t>
    </r>
  </si>
  <si>
    <t>TPS51113</t>
  </si>
  <si>
    <t>TPS53316</t>
  </si>
  <si>
    <t>TPS53313</t>
  </si>
  <si>
    <t>TPS40007, TPS40009, TPS40021, TPS40040, TPS40041, TPS40055, TPS40057, TPS40075, TPS40077, TPS40101, TPS40170, TPS40190, TPS40192, TPS40193, TPS40195, TPS40200, TPS40303, TPS40304, TPS40305, TPS40322, TPS40400, TPS51113, TPS5130, TPS53311, TPS56121, TPS56221, TPS53316, TPS53313</t>
  </si>
  <si>
    <t>TPS40422</t>
  </si>
  <si>
    <t>For two-phase operation, choose LOUT = Lx/2, where Lx is the inducance per phase.</t>
  </si>
  <si>
    <t>H1*17.82*0.000001</t>
  </si>
  <si>
    <t>(17+I1)*17.82*0.000001=1/H1</t>
  </si>
  <si>
    <t>I1=1/(H1*17.82*0.000001)-17</t>
  </si>
  <si>
    <t>17+I1=1/(H1*17.82*0.000001)</t>
  </si>
  <si>
    <t>(17+I1)*H1*17.82*0.000001=1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</si>
</sst>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000E+00"/>
    <numFmt numFmtId="165" formatCode="0.000E+00"/>
    <numFmt numFmtId="166" formatCode="0.000"/>
    <numFmt numFmtId="167" formatCode="0.0000"/>
    <numFmt numFmtId="168" formatCode="0.0"/>
    <numFmt numFmtId="169" formatCode="0.00000"/>
    <numFmt numFmtId="170" formatCode="0.0000000000"/>
    <numFmt numFmtId="171" formatCode="0\ &quot;pF&quot;"/>
    <numFmt numFmtId="172" formatCode="0\ &quot;Ω&quot;"/>
    <numFmt numFmtId="173" formatCode="0\ &quot;Hz&quot;"/>
    <numFmt numFmtId="174" formatCode="0.0\°"/>
    <numFmt numFmtId="175" formatCode="0.000\ &quot;V&quot;"/>
    <numFmt numFmtId="176" formatCode="0.00\ \V"/>
    <numFmt numFmtId="177" formatCode="General\ &quot;V&quot;"/>
    <numFmt numFmtId="178" formatCode="General\ &quot;MHz&quot;"/>
    <numFmt numFmtId="179" formatCode="General\ &quot;dB&quot;"/>
    <numFmt numFmtId="180" formatCode="0\+0E+00"/>
    <numFmt numFmtId="181" formatCode="General\ &quot;pF&quot;"/>
    <numFmt numFmtId="182" formatCode="0.00000E+00"/>
  </numFmts>
  <fonts count="29" x14ac:knownFonts="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2"/>
      <name val="Arial"/>
      <family val="2"/>
    </font>
    <font>
      <sz val="10"/>
      <name val="Symbol"/>
      <family val="1"/>
      <charset val="2"/>
    </font>
    <font>
      <sz val="10"/>
      <color indexed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9"/>
      <name val="Verdana"/>
      <family val="2"/>
    </font>
    <font>
      <sz val="9"/>
      <color indexed="9"/>
      <name val="Verdana"/>
      <family val="2"/>
    </font>
    <font>
      <b/>
      <sz val="8"/>
      <name val="Arial"/>
      <family val="2"/>
    </font>
    <font>
      <b/>
      <i/>
      <sz val="8"/>
      <color indexed="9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0" xfId="0" applyFill="1" applyProtection="1">
      <protection hidden="1"/>
    </xf>
    <xf numFmtId="0" fontId="0" fillId="2" borderId="1" xfId="0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0" fillId="3" borderId="2" xfId="0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4" borderId="4" xfId="0" applyFill="1" applyBorder="1" applyProtection="1">
      <protection hidden="1"/>
    </xf>
    <xf numFmtId="0" fontId="12" fillId="4" borderId="4" xfId="0" applyFont="1" applyFill="1" applyBorder="1" applyProtection="1">
      <protection hidden="1"/>
    </xf>
    <xf numFmtId="166" fontId="9" fillId="2" borderId="1" xfId="0" applyNumberFormat="1" applyFont="1" applyFill="1" applyBorder="1" applyProtection="1">
      <protection hidden="1"/>
    </xf>
    <xf numFmtId="0" fontId="13" fillId="2" borderId="0" xfId="0" applyFont="1" applyFill="1" applyBorder="1" applyProtection="1">
      <protection hidden="1"/>
    </xf>
    <xf numFmtId="0" fontId="10" fillId="4" borderId="1" xfId="0" applyFont="1" applyFill="1" applyBorder="1" applyProtection="1">
      <protection locked="0"/>
    </xf>
    <xf numFmtId="1" fontId="10" fillId="4" borderId="2" xfId="0" applyNumberFormat="1" applyFont="1" applyFill="1" applyBorder="1" applyProtection="1">
      <protection locked="0"/>
    </xf>
    <xf numFmtId="0" fontId="4" fillId="2" borderId="5" xfId="0" applyFont="1" applyFill="1" applyBorder="1"/>
    <xf numFmtId="0" fontId="9" fillId="2" borderId="0" xfId="0" applyFont="1" applyFill="1"/>
    <xf numFmtId="0" fontId="13" fillId="2" borderId="0" xfId="0" applyFont="1" applyFill="1"/>
    <xf numFmtId="0" fontId="0" fillId="3" borderId="6" xfId="0" applyFill="1" applyBorder="1" applyProtection="1">
      <protection hidden="1"/>
    </xf>
    <xf numFmtId="0" fontId="14" fillId="2" borderId="0" xfId="0" applyFont="1" applyFill="1"/>
    <xf numFmtId="0" fontId="15" fillId="2" borderId="0" xfId="0" applyFont="1" applyFill="1" applyBorder="1" applyProtection="1">
      <protection hidden="1"/>
    </xf>
    <xf numFmtId="0" fontId="15" fillId="2" borderId="0" xfId="0" applyFont="1" applyFill="1"/>
    <xf numFmtId="0" fontId="9" fillId="2" borderId="0" xfId="0" applyFont="1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4" fillId="2" borderId="7" xfId="0" applyFont="1" applyFill="1" applyBorder="1"/>
    <xf numFmtId="0" fontId="0" fillId="2" borderId="8" xfId="0" applyFill="1" applyBorder="1"/>
    <xf numFmtId="0" fontId="0" fillId="2" borderId="8" xfId="0" applyFill="1" applyBorder="1" applyProtection="1">
      <protection hidden="1"/>
    </xf>
    <xf numFmtId="0" fontId="0" fillId="2" borderId="9" xfId="0" applyFill="1" applyBorder="1"/>
    <xf numFmtId="0" fontId="0" fillId="2" borderId="10" xfId="0" applyFill="1" applyBorder="1" applyProtection="1">
      <protection hidden="1"/>
    </xf>
    <xf numFmtId="0" fontId="0" fillId="2" borderId="11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1" fillId="2" borderId="1" xfId="0" applyFont="1" applyFill="1" applyBorder="1" applyProtection="1">
      <protection hidden="1"/>
    </xf>
    <xf numFmtId="0" fontId="0" fillId="2" borderId="13" xfId="0" applyFill="1" applyBorder="1"/>
    <xf numFmtId="0" fontId="0" fillId="2" borderId="14" xfId="0" applyFill="1" applyBorder="1"/>
    <xf numFmtId="0" fontId="0" fillId="4" borderId="2" xfId="0" applyFill="1" applyBorder="1" applyProtection="1">
      <protection hidden="1"/>
    </xf>
    <xf numFmtId="0" fontId="5" fillId="4" borderId="4" xfId="0" applyFont="1" applyFill="1" applyBorder="1" applyProtection="1">
      <protection hidden="1"/>
    </xf>
    <xf numFmtId="0" fontId="0" fillId="2" borderId="15" xfId="0" applyFill="1" applyBorder="1"/>
    <xf numFmtId="0" fontId="3" fillId="2" borderId="0" xfId="0" applyFont="1" applyFill="1" applyProtection="1">
      <protection hidden="1"/>
    </xf>
    <xf numFmtId="0" fontId="0" fillId="2" borderId="0" xfId="0" applyFill="1" applyAlignment="1" applyProtection="1">
      <alignment wrapText="1"/>
      <protection hidden="1"/>
    </xf>
    <xf numFmtId="0" fontId="11" fillId="2" borderId="16" xfId="0" applyFont="1" applyFill="1" applyBorder="1" applyProtection="1">
      <protection hidden="1"/>
    </xf>
    <xf numFmtId="0" fontId="4" fillId="2" borderId="0" xfId="0" applyFont="1" applyFill="1" applyProtection="1">
      <protection hidden="1"/>
    </xf>
    <xf numFmtId="0" fontId="4" fillId="2" borderId="0" xfId="0" applyFont="1" applyFill="1" applyAlignment="1" applyProtection="1">
      <alignment horizontal="left" indent="1"/>
      <protection hidden="1"/>
    </xf>
    <xf numFmtId="0" fontId="0" fillId="2" borderId="0" xfId="0" applyFill="1" applyAlignment="1" applyProtection="1">
      <alignment horizontal="left" indent="2"/>
      <protection hidden="1"/>
    </xf>
    <xf numFmtId="172" fontId="8" fillId="3" borderId="1" xfId="0" applyNumberFormat="1" applyFont="1" applyFill="1" applyBorder="1" applyProtection="1">
      <protection hidden="1"/>
    </xf>
    <xf numFmtId="173" fontId="9" fillId="2" borderId="1" xfId="0" applyNumberFormat="1" applyFont="1" applyFill="1" applyBorder="1" applyProtection="1">
      <protection hidden="1"/>
    </xf>
    <xf numFmtId="174" fontId="8" fillId="3" borderId="17" xfId="0" applyNumberFormat="1" applyFont="1" applyFill="1" applyBorder="1" applyProtection="1">
      <protection hidden="1"/>
    </xf>
    <xf numFmtId="175" fontId="8" fillId="3" borderId="18" xfId="0" applyNumberFormat="1" applyFont="1" applyFill="1" applyBorder="1" applyProtection="1">
      <protection hidden="1"/>
    </xf>
    <xf numFmtId="0" fontId="0" fillId="4" borderId="17" xfId="0" applyFill="1" applyBorder="1" applyProtection="1">
      <protection hidden="1"/>
    </xf>
    <xf numFmtId="0" fontId="0" fillId="2" borderId="19" xfId="0" applyFill="1" applyBorder="1"/>
    <xf numFmtId="172" fontId="16" fillId="2" borderId="4" xfId="0" applyNumberFormat="1" applyFont="1" applyFill="1" applyBorder="1"/>
    <xf numFmtId="172" fontId="16" fillId="2" borderId="4" xfId="0" applyNumberFormat="1" applyFont="1" applyFill="1" applyBorder="1" applyProtection="1">
      <protection hidden="1"/>
    </xf>
    <xf numFmtId="171" fontId="16" fillId="2" borderId="4" xfId="0" applyNumberFormat="1" applyFont="1" applyFill="1" applyBorder="1" applyProtection="1">
      <protection hidden="1"/>
    </xf>
    <xf numFmtId="171" fontId="16" fillId="2" borderId="18" xfId="0" applyNumberFormat="1" applyFont="1" applyFill="1" applyBorder="1" applyProtection="1">
      <protection hidden="1"/>
    </xf>
    <xf numFmtId="173" fontId="8" fillId="3" borderId="20" xfId="0" applyNumberFormat="1" applyFont="1" applyFill="1" applyBorder="1" applyProtection="1">
      <protection hidden="1"/>
    </xf>
    <xf numFmtId="0" fontId="10" fillId="4" borderId="21" xfId="0" applyFont="1" applyFill="1" applyBorder="1" applyProtection="1">
      <protection locked="0"/>
    </xf>
    <xf numFmtId="0" fontId="12" fillId="4" borderId="22" xfId="0" applyFont="1" applyFill="1" applyBorder="1" applyProtection="1">
      <protection hidden="1"/>
    </xf>
    <xf numFmtId="0" fontId="10" fillId="4" borderId="4" xfId="0" applyFont="1" applyFill="1" applyBorder="1" applyProtection="1">
      <protection locked="0"/>
    </xf>
    <xf numFmtId="0" fontId="0" fillId="4" borderId="4" xfId="0" applyFill="1" applyBorder="1"/>
    <xf numFmtId="0" fontId="0" fillId="4" borderId="18" xfId="0" applyFill="1" applyBorder="1"/>
    <xf numFmtId="0" fontId="10" fillId="4" borderId="4" xfId="0" applyFont="1" applyFill="1" applyBorder="1" applyAlignment="1" applyProtection="1">
      <alignment horizontal="left"/>
      <protection locked="0"/>
    </xf>
    <xf numFmtId="0" fontId="10" fillId="4" borderId="23" xfId="0" applyFont="1" applyFill="1" applyBorder="1" applyProtection="1">
      <protection locked="0"/>
    </xf>
    <xf numFmtId="0" fontId="10" fillId="4" borderId="2" xfId="0" applyFont="1" applyFill="1" applyBorder="1" applyProtection="1">
      <protection locked="0"/>
    </xf>
    <xf numFmtId="0" fontId="10" fillId="4" borderId="3" xfId="0" applyFont="1" applyFill="1" applyBorder="1" applyProtection="1">
      <protection locked="0"/>
    </xf>
    <xf numFmtId="0" fontId="4" fillId="2" borderId="24" xfId="0" applyFont="1" applyFill="1" applyBorder="1" applyAlignment="1">
      <alignment horizontal="right"/>
    </xf>
    <xf numFmtId="0" fontId="4" fillId="2" borderId="9" xfId="0" applyFont="1" applyFill="1" applyBorder="1"/>
    <xf numFmtId="0" fontId="4" fillId="2" borderId="23" xfId="0" applyFont="1" applyFill="1" applyBorder="1" applyAlignment="1">
      <alignment horizontal="right"/>
    </xf>
    <xf numFmtId="0" fontId="6" fillId="2" borderId="7" xfId="0" applyFont="1" applyFill="1" applyBorder="1" applyProtection="1">
      <protection hidden="1"/>
    </xf>
    <xf numFmtId="0" fontId="7" fillId="2" borderId="0" xfId="0" applyFont="1" applyFill="1" applyAlignment="1" applyProtection="1">
      <alignment horizontal="right"/>
      <protection hidden="1"/>
    </xf>
    <xf numFmtId="0" fontId="10" fillId="4" borderId="25" xfId="0" applyFont="1" applyFill="1" applyBorder="1" applyProtection="1">
      <protection locked="0"/>
    </xf>
    <xf numFmtId="0" fontId="0" fillId="4" borderId="6" xfId="0" applyFill="1" applyBorder="1" applyProtection="1">
      <protection hidden="1"/>
    </xf>
    <xf numFmtId="0" fontId="5" fillId="4" borderId="17" xfId="0" applyFont="1" applyFill="1" applyBorder="1" applyProtection="1">
      <protection hidden="1"/>
    </xf>
    <xf numFmtId="0" fontId="0" fillId="3" borderId="12" xfId="0" applyFill="1" applyBorder="1" applyProtection="1">
      <protection hidden="1"/>
    </xf>
    <xf numFmtId="0" fontId="0" fillId="3" borderId="2" xfId="0" applyFill="1" applyBorder="1"/>
    <xf numFmtId="166" fontId="8" fillId="3" borderId="1" xfId="0" applyNumberFormat="1" applyFont="1" applyFill="1" applyBorder="1"/>
    <xf numFmtId="0" fontId="0" fillId="3" borderId="4" xfId="0" applyFill="1" applyBorder="1"/>
    <xf numFmtId="0" fontId="0" fillId="3" borderId="3" xfId="0" applyFill="1" applyBorder="1"/>
    <xf numFmtId="0" fontId="0" fillId="3" borderId="18" xfId="0" applyFill="1" applyBorder="1"/>
    <xf numFmtId="0" fontId="10" fillId="4" borderId="4" xfId="0" applyFont="1" applyFill="1" applyBorder="1" applyAlignment="1" applyProtection="1">
      <alignment horizontal="center" wrapText="1"/>
      <protection locked="0"/>
    </xf>
    <xf numFmtId="0" fontId="4" fillId="4" borderId="17" xfId="0" applyFont="1" applyFill="1" applyBorder="1" applyProtection="1">
      <protection hidden="1"/>
    </xf>
    <xf numFmtId="0" fontId="4" fillId="2" borderId="5" xfId="0" applyFont="1" applyFill="1" applyBorder="1" applyProtection="1">
      <protection hidden="1"/>
    </xf>
    <xf numFmtId="0" fontId="0" fillId="2" borderId="13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4" borderId="3" xfId="0" applyFill="1" applyBorder="1" applyProtection="1">
      <protection hidden="1"/>
    </xf>
    <xf numFmtId="0" fontId="10" fillId="4" borderId="12" xfId="0" applyFont="1" applyFill="1" applyBorder="1" applyProtection="1">
      <protection locked="0"/>
    </xf>
    <xf numFmtId="0" fontId="5" fillId="4" borderId="1" xfId="0" applyFont="1" applyFill="1" applyBorder="1" applyProtection="1">
      <protection hidden="1"/>
    </xf>
    <xf numFmtId="0" fontId="5" fillId="4" borderId="12" xfId="0" applyFont="1" applyFill="1" applyBorder="1" applyProtection="1">
      <protection hidden="1"/>
    </xf>
    <xf numFmtId="0" fontId="4" fillId="2" borderId="14" xfId="0" applyFont="1" applyFill="1" applyBorder="1" applyAlignment="1">
      <alignment horizontal="center"/>
    </xf>
    <xf numFmtId="0" fontId="5" fillId="4" borderId="25" xfId="0" applyFont="1" applyFill="1" applyBorder="1" applyProtection="1">
      <protection hidden="1"/>
    </xf>
    <xf numFmtId="0" fontId="10" fillId="2" borderId="17" xfId="0" applyFont="1" applyFill="1" applyBorder="1" applyAlignment="1">
      <alignment horizontal="center"/>
    </xf>
    <xf numFmtId="0" fontId="10" fillId="4" borderId="4" xfId="0" applyFont="1" applyFill="1" applyBorder="1" applyAlignment="1" applyProtection="1">
      <alignment horizontal="center"/>
      <protection locked="0"/>
    </xf>
    <xf numFmtId="0" fontId="0" fillId="2" borderId="18" xfId="0" applyFill="1" applyBorder="1"/>
    <xf numFmtId="0" fontId="13" fillId="2" borderId="0" xfId="0" applyFont="1" applyFill="1" applyBorder="1" applyAlignment="1" applyProtection="1">
      <alignment horizontal="center"/>
      <protection hidden="1"/>
    </xf>
    <xf numFmtId="181" fontId="8" fillId="3" borderId="1" xfId="0" applyNumberFormat="1" applyFont="1" applyFill="1" applyBorder="1" applyProtection="1">
      <protection hidden="1"/>
    </xf>
    <xf numFmtId="181" fontId="8" fillId="3" borderId="4" xfId="0" applyNumberFormat="1" applyFont="1" applyFill="1" applyBorder="1" applyProtection="1">
      <protection hidden="1"/>
    </xf>
    <xf numFmtId="181" fontId="8" fillId="3" borderId="18" xfId="0" applyNumberFormat="1" applyFont="1" applyFill="1" applyBorder="1" applyProtection="1">
      <protection hidden="1"/>
    </xf>
    <xf numFmtId="0" fontId="10" fillId="4" borderId="2" xfId="0" applyNumberFormat="1" applyFont="1" applyFill="1" applyBorder="1" applyProtection="1">
      <protection locked="0"/>
    </xf>
    <xf numFmtId="0" fontId="10" fillId="4" borderId="6" xfId="0" applyNumberFormat="1" applyFont="1" applyFill="1" applyBorder="1" applyProtection="1">
      <protection locked="0"/>
    </xf>
    <xf numFmtId="173" fontId="8" fillId="3" borderId="4" xfId="0" applyNumberFormat="1" applyFont="1" applyFill="1" applyBorder="1" applyAlignment="1" applyProtection="1">
      <alignment horizontal="right"/>
      <protection hidden="1"/>
    </xf>
    <xf numFmtId="0" fontId="19" fillId="2" borderId="0" xfId="0" applyFont="1" applyFill="1"/>
    <xf numFmtId="0" fontId="9" fillId="2" borderId="0" xfId="0" applyFont="1" applyFill="1" applyProtection="1">
      <protection hidden="1"/>
    </xf>
    <xf numFmtId="0" fontId="16" fillId="2" borderId="0" xfId="0" applyFont="1" applyFill="1" applyBorder="1" applyProtection="1">
      <protection hidden="1"/>
    </xf>
    <xf numFmtId="0" fontId="13" fillId="2" borderId="0" xfId="0" applyFont="1" applyFill="1" applyBorder="1"/>
    <xf numFmtId="2" fontId="8" fillId="3" borderId="1" xfId="0" applyNumberFormat="1" applyFont="1" applyFill="1" applyBorder="1" applyAlignment="1">
      <alignment horizontal="right"/>
    </xf>
    <xf numFmtId="166" fontId="8" fillId="3" borderId="12" xfId="0" applyNumberFormat="1" applyFont="1" applyFill="1" applyBorder="1" applyAlignment="1">
      <alignment horizontal="right"/>
    </xf>
    <xf numFmtId="0" fontId="13" fillId="2" borderId="7" xfId="0" applyFont="1" applyFill="1" applyBorder="1" applyProtection="1">
      <protection hidden="1"/>
    </xf>
    <xf numFmtId="0" fontId="18" fillId="2" borderId="8" xfId="0" applyFont="1" applyFill="1" applyBorder="1" applyAlignment="1" applyProtection="1">
      <alignment horizontal="center"/>
      <protection hidden="1"/>
    </xf>
    <xf numFmtId="165" fontId="20" fillId="2" borderId="0" xfId="0" applyNumberFormat="1" applyFont="1" applyFill="1" applyBorder="1" applyAlignment="1" applyProtection="1">
      <alignment horizontal="center"/>
      <protection hidden="1"/>
    </xf>
    <xf numFmtId="0" fontId="20" fillId="2" borderId="0" xfId="0" applyFont="1" applyFill="1" applyBorder="1" applyProtection="1">
      <protection hidden="1"/>
    </xf>
    <xf numFmtId="0" fontId="22" fillId="2" borderId="0" xfId="0" applyFont="1" applyFill="1" applyBorder="1" applyAlignment="1" applyProtection="1">
      <alignment horizontal="center" wrapText="1"/>
      <protection hidden="1"/>
    </xf>
    <xf numFmtId="2" fontId="13" fillId="2" borderId="0" xfId="0" applyNumberFormat="1" applyFont="1" applyFill="1" applyBorder="1" applyProtection="1">
      <protection hidden="1"/>
    </xf>
    <xf numFmtId="0" fontId="23" fillId="2" borderId="0" xfId="0" applyFont="1" applyFill="1" applyBorder="1" applyAlignment="1" applyProtection="1">
      <alignment horizontal="center" wrapText="1"/>
      <protection hidden="1"/>
    </xf>
    <xf numFmtId="170" fontId="0" fillId="2" borderId="0" xfId="0" applyNumberFormat="1" applyFill="1"/>
    <xf numFmtId="182" fontId="0" fillId="2" borderId="0" xfId="0" applyNumberFormat="1" applyFill="1"/>
    <xf numFmtId="164" fontId="0" fillId="2" borderId="0" xfId="0" applyNumberFormat="1" applyFill="1"/>
    <xf numFmtId="0" fontId="0" fillId="2" borderId="0" xfId="0" applyFill="1" applyAlignment="1">
      <alignment horizontal="left"/>
    </xf>
    <xf numFmtId="11" fontId="7" fillId="2" borderId="0" xfId="0" applyNumberFormat="1" applyFont="1" applyFill="1" applyBorder="1" applyAlignment="1">
      <alignment horizontal="left" vertical="center" wrapText="1"/>
    </xf>
    <xf numFmtId="11" fontId="0" fillId="2" borderId="0" xfId="0" applyNumberForma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4" fillId="2" borderId="7" xfId="0" applyFont="1" applyFill="1" applyBorder="1" applyProtection="1">
      <protection hidden="1"/>
    </xf>
    <xf numFmtId="0" fontId="10" fillId="4" borderId="26" xfId="0" applyFont="1" applyFill="1" applyBorder="1" applyAlignment="1" applyProtection="1">
      <alignment horizontal="center"/>
      <protection locked="0"/>
    </xf>
    <xf numFmtId="0" fontId="10" fillId="4" borderId="1" xfId="0" applyNumberFormat="1" applyFont="1" applyFill="1" applyBorder="1" applyProtection="1">
      <protection locked="0"/>
    </xf>
    <xf numFmtId="0" fontId="5" fillId="4" borderId="18" xfId="0" applyFont="1" applyFill="1" applyBorder="1" applyProtection="1">
      <protection hidden="1"/>
    </xf>
    <xf numFmtId="0" fontId="10" fillId="2" borderId="0" xfId="0" applyFont="1" applyFill="1" applyBorder="1"/>
    <xf numFmtId="0" fontId="5" fillId="2" borderId="0" xfId="0" applyFont="1" applyFill="1" applyBorder="1" applyProtection="1">
      <protection hidden="1"/>
    </xf>
    <xf numFmtId="0" fontId="10" fillId="4" borderId="12" xfId="0" applyNumberFormat="1" applyFont="1" applyFill="1" applyBorder="1" applyProtection="1">
      <protection locked="0"/>
    </xf>
    <xf numFmtId="0" fontId="5" fillId="2" borderId="0" xfId="0" applyFont="1" applyFill="1" applyAlignment="1" applyProtection="1">
      <alignment wrapText="1"/>
      <protection hidden="1"/>
    </xf>
    <xf numFmtId="0" fontId="13" fillId="5" borderId="0" xfId="0" applyFont="1" applyFill="1" applyBorder="1"/>
    <xf numFmtId="0" fontId="17" fillId="5" borderId="0" xfId="0" applyFont="1" applyFill="1" applyBorder="1" applyProtection="1">
      <protection hidden="1"/>
    </xf>
    <xf numFmtId="0" fontId="13" fillId="5" borderId="0" xfId="0" applyFont="1" applyFill="1" applyBorder="1" applyProtection="1">
      <protection hidden="1"/>
    </xf>
    <xf numFmtId="0" fontId="18" fillId="5" borderId="0" xfId="0" applyFont="1" applyFill="1" applyBorder="1" applyProtection="1">
      <protection hidden="1"/>
    </xf>
    <xf numFmtId="0" fontId="13" fillId="5" borderId="0" xfId="0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center" wrapText="1"/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26" fillId="5" borderId="0" xfId="0" applyFont="1" applyFill="1" applyBorder="1" applyProtection="1">
      <protection hidden="1"/>
    </xf>
    <xf numFmtId="1" fontId="13" fillId="5" borderId="0" xfId="0" applyNumberFormat="1" applyFont="1" applyFill="1" applyBorder="1" applyProtection="1">
      <protection hidden="1"/>
    </xf>
    <xf numFmtId="166" fontId="13" fillId="5" borderId="0" xfId="0" applyNumberFormat="1" applyFont="1" applyFill="1" applyBorder="1" applyAlignment="1" applyProtection="1">
      <alignment horizontal="center"/>
      <protection hidden="1"/>
    </xf>
    <xf numFmtId="2" fontId="13" fillId="5" borderId="0" xfId="0" applyNumberFormat="1" applyFont="1" applyFill="1" applyBorder="1" applyAlignment="1" applyProtection="1">
      <alignment horizontal="center"/>
      <protection hidden="1"/>
    </xf>
    <xf numFmtId="0" fontId="21" fillId="5" borderId="0" xfId="0" applyFont="1" applyFill="1" applyBorder="1" applyProtection="1">
      <protection hidden="1"/>
    </xf>
    <xf numFmtId="0" fontId="22" fillId="5" borderId="0" xfId="0" applyFont="1" applyFill="1" applyBorder="1" applyAlignment="1" applyProtection="1">
      <alignment horizontal="center" wrapText="1"/>
      <protection hidden="1"/>
    </xf>
    <xf numFmtId="2" fontId="26" fillId="5" borderId="0" xfId="0" applyNumberFormat="1" applyFont="1" applyFill="1" applyBorder="1" applyAlignment="1" applyProtection="1">
      <alignment horizontal="center"/>
      <protection hidden="1"/>
    </xf>
    <xf numFmtId="1" fontId="20" fillId="5" borderId="0" xfId="0" applyNumberFormat="1" applyFont="1" applyFill="1" applyBorder="1" applyProtection="1"/>
    <xf numFmtId="1" fontId="20" fillId="5" borderId="0" xfId="0" applyNumberFormat="1" applyFont="1" applyFill="1" applyBorder="1" applyAlignment="1" applyProtection="1">
      <alignment horizontal="right"/>
    </xf>
    <xf numFmtId="166" fontId="26" fillId="5" borderId="0" xfId="0" applyNumberFormat="1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Protection="1">
      <protection locked="0"/>
    </xf>
    <xf numFmtId="1" fontId="13" fillId="5" borderId="0" xfId="0" applyNumberFormat="1" applyFont="1" applyFill="1" applyBorder="1" applyAlignment="1" applyProtection="1">
      <alignment horizontal="center"/>
      <protection hidden="1"/>
    </xf>
    <xf numFmtId="1" fontId="18" fillId="5" borderId="0" xfId="0" applyNumberFormat="1" applyFont="1" applyFill="1" applyBorder="1" applyProtection="1">
      <protection locked="0"/>
    </xf>
    <xf numFmtId="0" fontId="26" fillId="5" borderId="0" xfId="0" applyFont="1" applyFill="1"/>
    <xf numFmtId="0" fontId="18" fillId="5" borderId="0" xfId="0" applyNumberFormat="1" applyFont="1" applyFill="1" applyBorder="1" applyProtection="1">
      <protection locked="0"/>
    </xf>
    <xf numFmtId="0" fontId="26" fillId="5" borderId="0" xfId="0" applyFont="1" applyFill="1" applyAlignment="1">
      <alignment horizontal="center"/>
    </xf>
    <xf numFmtId="166" fontId="26" fillId="5" borderId="0" xfId="0" applyNumberFormat="1" applyFont="1" applyFill="1" applyBorder="1" applyAlignment="1">
      <alignment horizontal="center" vertical="center" wrapText="1"/>
    </xf>
    <xf numFmtId="0" fontId="23" fillId="5" borderId="0" xfId="0" applyFont="1" applyFill="1" applyBorder="1" applyAlignment="1" applyProtection="1">
      <alignment horizontal="center" wrapText="1"/>
      <protection hidden="1"/>
    </xf>
    <xf numFmtId="0" fontId="26" fillId="5" borderId="0" xfId="0" applyFont="1" applyFill="1" applyBorder="1"/>
    <xf numFmtId="0" fontId="27" fillId="5" borderId="0" xfId="0" applyFont="1" applyFill="1" applyAlignment="1">
      <alignment horizontal="center"/>
    </xf>
    <xf numFmtId="0" fontId="27" fillId="5" borderId="0" xfId="0" applyFont="1" applyFill="1" applyBorder="1"/>
    <xf numFmtId="0" fontId="27" fillId="5" borderId="0" xfId="0" applyFont="1" applyFill="1" applyBorder="1" applyAlignment="1">
      <alignment horizontal="center"/>
    </xf>
    <xf numFmtId="166" fontId="13" fillId="5" borderId="0" xfId="0" applyNumberFormat="1" applyFont="1" applyFill="1" applyBorder="1" applyProtection="1">
      <protection hidden="1"/>
    </xf>
    <xf numFmtId="168" fontId="17" fillId="5" borderId="0" xfId="0" applyNumberFormat="1" applyFont="1" applyFill="1" applyBorder="1" applyProtection="1"/>
    <xf numFmtId="11" fontId="25" fillId="5" borderId="0" xfId="0" applyNumberFormat="1" applyFont="1" applyFill="1" applyBorder="1" applyAlignment="1">
      <alignment horizontal="center" vertical="center" wrapText="1"/>
    </xf>
    <xf numFmtId="11" fontId="13" fillId="5" borderId="0" xfId="0" applyNumberFormat="1" applyFont="1" applyFill="1" applyBorder="1" applyAlignment="1">
      <alignment horizontal="center" vertical="center" wrapText="1"/>
    </xf>
    <xf numFmtId="0" fontId="18" fillId="5" borderId="0" xfId="0" applyFont="1" applyFill="1" applyBorder="1"/>
    <xf numFmtId="0" fontId="18" fillId="5" borderId="0" xfId="0" applyFont="1" applyFill="1" applyBorder="1" applyAlignment="1" applyProtection="1">
      <alignment horizontal="center"/>
      <protection hidden="1"/>
    </xf>
    <xf numFmtId="0" fontId="17" fillId="5" borderId="0" xfId="0" applyFont="1" applyFill="1" applyBorder="1" applyAlignment="1" applyProtection="1">
      <alignment horizontal="center"/>
      <protection hidden="1"/>
    </xf>
    <xf numFmtId="166" fontId="13" fillId="5" borderId="0" xfId="0" applyNumberFormat="1" applyFont="1" applyFill="1" applyBorder="1" applyAlignment="1" applyProtection="1">
      <alignment horizontal="left"/>
      <protection hidden="1"/>
    </xf>
    <xf numFmtId="0" fontId="13" fillId="5" borderId="0" xfId="0" applyFont="1" applyFill="1" applyBorder="1" applyAlignment="1" applyProtection="1">
      <alignment horizontal="left"/>
      <protection hidden="1"/>
    </xf>
    <xf numFmtId="0" fontId="13" fillId="5" borderId="0" xfId="0" applyFont="1" applyFill="1"/>
    <xf numFmtId="168" fontId="13" fillId="5" borderId="0" xfId="0" applyNumberFormat="1" applyFont="1" applyFill="1" applyBorder="1" applyAlignment="1" applyProtection="1">
      <alignment horizontal="center"/>
      <protection hidden="1"/>
    </xf>
    <xf numFmtId="0" fontId="13" fillId="5" borderId="0" xfId="0" applyFont="1" applyFill="1" applyBorder="1" applyAlignment="1">
      <alignment horizontal="left"/>
    </xf>
    <xf numFmtId="0" fontId="13" fillId="5" borderId="0" xfId="0" applyFont="1" applyFill="1" applyBorder="1" applyAlignment="1">
      <alignment horizontal="center"/>
    </xf>
    <xf numFmtId="166" fontId="18" fillId="5" borderId="0" xfId="0" applyNumberFormat="1" applyFont="1" applyFill="1" applyBorder="1" applyAlignment="1" applyProtection="1">
      <alignment horizontal="left"/>
      <protection hidden="1"/>
    </xf>
    <xf numFmtId="0" fontId="28" fillId="5" borderId="0" xfId="0" applyFont="1" applyFill="1" applyBorder="1" applyAlignment="1">
      <alignment horizontal="right"/>
    </xf>
    <xf numFmtId="0" fontId="28" fillId="5" borderId="0" xfId="0" applyFont="1" applyFill="1" applyBorder="1" applyAlignment="1" applyProtection="1">
      <alignment horizontal="center"/>
      <protection hidden="1"/>
    </xf>
    <xf numFmtId="176" fontId="26" fillId="5" borderId="0" xfId="0" applyNumberFormat="1" applyFont="1" applyFill="1" applyBorder="1" applyProtection="1">
      <protection hidden="1"/>
    </xf>
    <xf numFmtId="176" fontId="28" fillId="5" borderId="0" xfId="0" applyNumberFormat="1" applyFont="1" applyFill="1" applyBorder="1" applyProtection="1">
      <protection hidden="1"/>
    </xf>
    <xf numFmtId="177" fontId="26" fillId="5" borderId="0" xfId="0" applyNumberFormat="1" applyFont="1" applyFill="1" applyBorder="1" applyProtection="1">
      <protection hidden="1"/>
    </xf>
    <xf numFmtId="0" fontId="28" fillId="5" borderId="0" xfId="0" applyFont="1" applyFill="1" applyBorder="1" applyProtection="1">
      <protection hidden="1"/>
    </xf>
    <xf numFmtId="178" fontId="26" fillId="5" borderId="0" xfId="0" applyNumberFormat="1" applyFont="1" applyFill="1" applyBorder="1" applyProtection="1">
      <protection hidden="1"/>
    </xf>
    <xf numFmtId="179" fontId="26" fillId="5" borderId="0" xfId="0" applyNumberFormat="1" applyFont="1" applyFill="1" applyBorder="1" applyProtection="1">
      <protection hidden="1"/>
    </xf>
    <xf numFmtId="2" fontId="13" fillId="5" borderId="0" xfId="0" applyNumberFormat="1" applyFont="1" applyFill="1"/>
    <xf numFmtId="169" fontId="13" fillId="5" borderId="0" xfId="0" applyNumberFormat="1" applyFont="1" applyFill="1"/>
    <xf numFmtId="167" fontId="13" fillId="5" borderId="0" xfId="0" applyNumberFormat="1" applyFont="1" applyFill="1"/>
    <xf numFmtId="169" fontId="18" fillId="5" borderId="0" xfId="0" applyNumberFormat="1" applyFont="1" applyFill="1" applyBorder="1" applyAlignment="1" applyProtection="1">
      <alignment horizontal="center"/>
      <protection hidden="1"/>
    </xf>
    <xf numFmtId="0" fontId="18" fillId="5" borderId="0" xfId="0" applyFont="1" applyFill="1" applyAlignment="1">
      <alignment horizontal="center"/>
    </xf>
    <xf numFmtId="180" fontId="13" fillId="5" borderId="0" xfId="0" applyNumberFormat="1" applyFont="1" applyFill="1" applyBorder="1" applyAlignment="1" applyProtection="1">
      <alignment horizontal="center"/>
      <protection hidden="1"/>
    </xf>
    <xf numFmtId="167" fontId="13" fillId="5" borderId="0" xfId="0" applyNumberFormat="1" applyFont="1" applyFill="1" applyBorder="1" applyAlignment="1" applyProtection="1">
      <alignment horizontal="center"/>
      <protection hidden="1"/>
    </xf>
    <xf numFmtId="0" fontId="13" fillId="5" borderId="0" xfId="0" applyFont="1" applyFill="1" applyAlignment="1">
      <alignment horizontal="center"/>
    </xf>
    <xf numFmtId="167" fontId="13" fillId="5" borderId="0" xfId="0" applyNumberFormat="1" applyFont="1" applyFill="1" applyBorder="1" applyProtection="1">
      <protection hidden="1"/>
    </xf>
    <xf numFmtId="0" fontId="17" fillId="5" borderId="0" xfId="0" applyFont="1" applyFill="1"/>
    <xf numFmtId="0" fontId="18" fillId="5" borderId="0" xfId="0" applyFont="1" applyFill="1"/>
    <xf numFmtId="0" fontId="9" fillId="5" borderId="0" xfId="0" applyFont="1" applyFill="1" applyBorder="1" applyProtection="1">
      <protection hidden="1"/>
    </xf>
    <xf numFmtId="0" fontId="9" fillId="5" borderId="0" xfId="0" applyFont="1" applyFill="1"/>
    <xf numFmtId="0" fontId="2" fillId="2" borderId="0" xfId="0" applyFont="1" applyFill="1" applyBorder="1"/>
    <xf numFmtId="0" fontId="0" fillId="0" borderId="0" xfId="0" quotePrefix="1"/>
    <xf numFmtId="2" fontId="0" fillId="0" borderId="0" xfId="0" applyNumberFormat="1"/>
    <xf numFmtId="11" fontId="24" fillId="2" borderId="0" xfId="0" applyNumberFormat="1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4" fillId="2" borderId="5" xfId="0" applyFont="1" applyFill="1" applyBorder="1" applyAlignment="1" applyProtection="1">
      <alignment horizontal="left" wrapText="1"/>
      <protection hidden="1"/>
    </xf>
    <xf numFmtId="0" fontId="4" fillId="2" borderId="13" xfId="0" applyFont="1" applyFill="1" applyBorder="1" applyAlignment="1" applyProtection="1">
      <alignment horizontal="left" wrapText="1"/>
      <protection hidden="1"/>
    </xf>
    <xf numFmtId="0" fontId="4" fillId="2" borderId="27" xfId="0" applyFont="1" applyFill="1" applyBorder="1" applyAlignment="1" applyProtection="1">
      <alignment horizontal="center"/>
      <protection hidden="1"/>
    </xf>
    <xf numFmtId="0" fontId="4" fillId="2" borderId="28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indexed="9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Control to Output Bode</a:t>
            </a:r>
          </a:p>
        </c:rich>
      </c:tx>
      <c:layout>
        <c:manualLayout>
          <c:xMode val="edge"/>
          <c:yMode val="edge"/>
          <c:x val="0.30213903743315507"/>
          <c:y val="3.47003154574132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05882352941177"/>
          <c:y val="0.17981072555205047"/>
          <c:w val="0.70855614973262027"/>
          <c:h val="0.56466876971608837"/>
        </c:manualLayout>
      </c:layout>
      <c:scatterChart>
        <c:scatterStyle val="smoothMarker"/>
        <c:varyColors val="0"/>
        <c:ser>
          <c:idx val="0"/>
          <c:order val="0"/>
          <c:tx>
            <c:v>Gain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'Input and Results'!$C$80:$C$330</c:f>
              <c:numCache>
                <c:formatCode>0.00</c:formatCode>
                <c:ptCount val="251"/>
                <c:pt idx="0" formatCode="General">
                  <c:v>10</c:v>
                </c:pt>
                <c:pt idx="1">
                  <c:v>10.471285480509</c:v>
                </c:pt>
                <c:pt idx="2">
                  <c:v>10.964781961431854</c:v>
                </c:pt>
                <c:pt idx="3">
                  <c:v>11.481536214968834</c:v>
                </c:pt>
                <c:pt idx="4">
                  <c:v>12.022644346174133</c:v>
                </c:pt>
                <c:pt idx="5">
                  <c:v>12.58925411794168</c:v>
                </c:pt>
                <c:pt idx="6">
                  <c:v>13.182567385564075</c:v>
                </c:pt>
                <c:pt idx="7">
                  <c:v>13.803842646028857</c:v>
                </c:pt>
                <c:pt idx="8">
                  <c:v>14.454397707459282</c:v>
                </c:pt>
                <c:pt idx="9">
                  <c:v>15.135612484362092</c:v>
                </c:pt>
                <c:pt idx="10">
                  <c:v>15.848931924611144</c:v>
                </c:pt>
                <c:pt idx="11">
                  <c:v>16.595869074375621</c:v>
                </c:pt>
                <c:pt idx="12">
                  <c:v>17.378008287493763</c:v>
                </c:pt>
                <c:pt idx="13">
                  <c:v>18.197008586099848</c:v>
                </c:pt>
                <c:pt idx="14">
                  <c:v>19.054607179632484</c:v>
                </c:pt>
                <c:pt idx="15">
                  <c:v>19.952623149688815</c:v>
                </c:pt>
                <c:pt idx="16">
                  <c:v>20.892961308540418</c:v>
                </c:pt>
                <c:pt idx="17">
                  <c:v>21.877616239495548</c:v>
                </c:pt>
                <c:pt idx="18">
                  <c:v>22.908676527677759</c:v>
                </c:pt>
                <c:pt idx="19">
                  <c:v>23.988329190194928</c:v>
                </c:pt>
                <c:pt idx="20">
                  <c:v>25.118864315095834</c:v>
                </c:pt>
                <c:pt idx="21">
                  <c:v>26.302679918953849</c:v>
                </c:pt>
                <c:pt idx="22">
                  <c:v>27.542287033381701</c:v>
                </c:pt>
                <c:pt idx="23">
                  <c:v>28.840315031266094</c:v>
                </c:pt>
                <c:pt idx="24">
                  <c:v>30.199517204020204</c:v>
                </c:pt>
                <c:pt idx="25">
                  <c:v>31.622776601683832</c:v>
                </c:pt>
                <c:pt idx="26">
                  <c:v>33.113112148259155</c:v>
                </c:pt>
                <c:pt idx="27">
                  <c:v>34.673685045253208</c:v>
                </c:pt>
                <c:pt idx="28">
                  <c:v>36.307805477010191</c:v>
                </c:pt>
                <c:pt idx="29">
                  <c:v>38.018939632056167</c:v>
                </c:pt>
                <c:pt idx="30">
                  <c:v>39.810717055349791</c:v>
                </c:pt>
                <c:pt idx="31">
                  <c:v>41.686938347033596</c:v>
                </c:pt>
                <c:pt idx="32">
                  <c:v>43.651583224016669</c:v>
                </c:pt>
                <c:pt idx="33">
                  <c:v>45.708818961487587</c:v>
                </c:pt>
                <c:pt idx="34">
                  <c:v>47.86300923226392</c:v>
                </c:pt>
                <c:pt idx="35">
                  <c:v>50.11872336272733</c:v>
                </c:pt>
                <c:pt idx="36">
                  <c:v>52.48074602497735</c:v>
                </c:pt>
                <c:pt idx="37">
                  <c:v>54.95408738576257</c:v>
                </c:pt>
                <c:pt idx="38">
                  <c:v>57.543993733715801</c:v>
                </c:pt>
                <c:pt idx="39">
                  <c:v>60.255958607435872</c:v>
                </c:pt>
                <c:pt idx="40">
                  <c:v>63.095734448019471</c:v>
                </c:pt>
                <c:pt idx="41">
                  <c:v>66.069344800759737</c:v>
                </c:pt>
                <c:pt idx="42">
                  <c:v>69.183097091893785</c:v>
                </c:pt>
                <c:pt idx="43">
                  <c:v>72.443596007499139</c:v>
                </c:pt>
                <c:pt idx="44">
                  <c:v>75.85775750291856</c:v>
                </c:pt>
                <c:pt idx="45">
                  <c:v>79.432823472428325</c:v>
                </c:pt>
                <c:pt idx="46">
                  <c:v>83.176377110267268</c:v>
                </c:pt>
                <c:pt idx="47">
                  <c:v>87.096358995608313</c:v>
                </c:pt>
                <c:pt idx="48">
                  <c:v>91.201083935591214</c:v>
                </c:pt>
                <c:pt idx="49">
                  <c:v>95.499258602143826</c:v>
                </c:pt>
                <c:pt idx="50">
                  <c:v>100.00000000000023</c:v>
                </c:pt>
                <c:pt idx="51">
                  <c:v>104.71285480509026</c:v>
                </c:pt>
                <c:pt idx="52">
                  <c:v>109.64781961431881</c:v>
                </c:pt>
                <c:pt idx="53">
                  <c:v>114.81536214968857</c:v>
                </c:pt>
                <c:pt idx="54">
                  <c:v>120.22644346174157</c:v>
                </c:pt>
                <c:pt idx="55">
                  <c:v>125.89254117941711</c:v>
                </c:pt>
                <c:pt idx="56">
                  <c:v>131.82567385564107</c:v>
                </c:pt>
                <c:pt idx="57">
                  <c:v>138.03842646028886</c:v>
                </c:pt>
                <c:pt idx="58">
                  <c:v>144.5439770745931</c:v>
                </c:pt>
                <c:pt idx="59">
                  <c:v>151.3561248436213</c:v>
                </c:pt>
                <c:pt idx="60">
                  <c:v>158.48931924611182</c:v>
                </c:pt>
                <c:pt idx="61">
                  <c:v>165.95869074375653</c:v>
                </c:pt>
                <c:pt idx="62">
                  <c:v>173.78008287493799</c:v>
                </c:pt>
                <c:pt idx="63">
                  <c:v>181.97008586099895</c:v>
                </c:pt>
                <c:pt idx="64">
                  <c:v>190.54607179632529</c:v>
                </c:pt>
                <c:pt idx="65">
                  <c:v>199.52623149688853</c:v>
                </c:pt>
                <c:pt idx="66">
                  <c:v>208.9296130854047</c:v>
                </c:pt>
                <c:pt idx="67">
                  <c:v>218.776162394956</c:v>
                </c:pt>
                <c:pt idx="68">
                  <c:v>229.08676527677804</c:v>
                </c:pt>
                <c:pt idx="69">
                  <c:v>239.88329190194978</c:v>
                </c:pt>
                <c:pt idx="70">
                  <c:v>251.18864315095894</c:v>
                </c:pt>
                <c:pt idx="71">
                  <c:v>263.02679918953913</c:v>
                </c:pt>
                <c:pt idx="72">
                  <c:v>275.42287033381757</c:v>
                </c:pt>
                <c:pt idx="73">
                  <c:v>288.40315031266152</c:v>
                </c:pt>
                <c:pt idx="74">
                  <c:v>301.99517204020276</c:v>
                </c:pt>
                <c:pt idx="75">
                  <c:v>316.2277660168391</c:v>
                </c:pt>
                <c:pt idx="76">
                  <c:v>331.13112148259222</c:v>
                </c:pt>
                <c:pt idx="77">
                  <c:v>346.73685045253279</c:v>
                </c:pt>
                <c:pt idx="78">
                  <c:v>363.07805477010277</c:v>
                </c:pt>
                <c:pt idx="79">
                  <c:v>380.18939632056265</c:v>
                </c:pt>
                <c:pt idx="80">
                  <c:v>398.10717055349869</c:v>
                </c:pt>
                <c:pt idx="81">
                  <c:v>416.8693834703372</c:v>
                </c:pt>
                <c:pt idx="82">
                  <c:v>436.51583224016775</c:v>
                </c:pt>
                <c:pt idx="83">
                  <c:v>457.0881896148768</c:v>
                </c:pt>
                <c:pt idx="84">
                  <c:v>478.63009232264011</c:v>
                </c:pt>
                <c:pt idx="85">
                  <c:v>501.18723362727451</c:v>
                </c:pt>
                <c:pt idx="86">
                  <c:v>524.80746024977486</c:v>
                </c:pt>
                <c:pt idx="87">
                  <c:v>549.54087385762671</c:v>
                </c:pt>
                <c:pt idx="88">
                  <c:v>575.43993733715911</c:v>
                </c:pt>
                <c:pt idx="89">
                  <c:v>602.55958607436048</c:v>
                </c:pt>
                <c:pt idx="90">
                  <c:v>630.95734448019596</c:v>
                </c:pt>
                <c:pt idx="91">
                  <c:v>660.6934480075987</c:v>
                </c:pt>
                <c:pt idx="92">
                  <c:v>691.83097091893922</c:v>
                </c:pt>
                <c:pt idx="93">
                  <c:v>724.43596007499343</c:v>
                </c:pt>
                <c:pt idx="94">
                  <c:v>758.57757502918719</c:v>
                </c:pt>
                <c:pt idx="95">
                  <c:v>794.32823472428493</c:v>
                </c:pt>
                <c:pt idx="96">
                  <c:v>831.76377110267515</c:v>
                </c:pt>
                <c:pt idx="97">
                  <c:v>870.96358995608477</c:v>
                </c:pt>
                <c:pt idx="98">
                  <c:v>912.01083935591396</c:v>
                </c:pt>
                <c:pt idx="99">
                  <c:v>954.99258602144016</c:v>
                </c:pt>
                <c:pt idx="100" formatCode="General">
                  <c:v>1000.0000000000051</c:v>
                </c:pt>
                <c:pt idx="101" formatCode="0">
                  <c:v>1047.1285480509046</c:v>
                </c:pt>
                <c:pt idx="102" formatCode="0">
                  <c:v>1096.4781961431902</c:v>
                </c:pt>
                <c:pt idx="103" formatCode="0">
                  <c:v>1148.153621496888</c:v>
                </c:pt>
                <c:pt idx="104" formatCode="0">
                  <c:v>1202.2644346174193</c:v>
                </c:pt>
                <c:pt idx="105" formatCode="0">
                  <c:v>1258.9254117941734</c:v>
                </c:pt>
                <c:pt idx="106" formatCode="0">
                  <c:v>1318.2567385564134</c:v>
                </c:pt>
                <c:pt idx="107" formatCode="0">
                  <c:v>1380.3842646028913</c:v>
                </c:pt>
                <c:pt idx="108" formatCode="0">
                  <c:v>1445.4397707459352</c:v>
                </c:pt>
                <c:pt idx="109" formatCode="0">
                  <c:v>1513.5612484362159</c:v>
                </c:pt>
                <c:pt idx="110" formatCode="0">
                  <c:v>1584.8931924611213</c:v>
                </c:pt>
                <c:pt idx="111" formatCode="0">
                  <c:v>1659.5869074375701</c:v>
                </c:pt>
                <c:pt idx="112" formatCode="0">
                  <c:v>1737.8008287493849</c:v>
                </c:pt>
                <c:pt idx="113" formatCode="0">
                  <c:v>1819.700858609993</c:v>
                </c:pt>
                <c:pt idx="114" formatCode="0">
                  <c:v>1905.4607179632569</c:v>
                </c:pt>
                <c:pt idx="115" formatCode="0">
                  <c:v>1995.2623149688911</c:v>
                </c:pt>
                <c:pt idx="116" formatCode="0">
                  <c:v>2089.2961308540512</c:v>
                </c:pt>
                <c:pt idx="117" formatCode="0">
                  <c:v>2187.7616239495642</c:v>
                </c:pt>
                <c:pt idx="118" formatCode="0">
                  <c:v>2290.8676527677849</c:v>
                </c:pt>
                <c:pt idx="119" formatCode="0">
                  <c:v>2398.8329190195045</c:v>
                </c:pt>
                <c:pt idx="120" formatCode="0">
                  <c:v>2511.8864315095943</c:v>
                </c:pt>
                <c:pt idx="121" formatCode="0">
                  <c:v>2630.2679918953963</c:v>
                </c:pt>
                <c:pt idx="122" formatCode="0">
                  <c:v>2754.2287033381813</c:v>
                </c:pt>
                <c:pt idx="123" formatCode="0">
                  <c:v>2884.0315031266232</c:v>
                </c:pt>
                <c:pt idx="124" formatCode="0">
                  <c:v>3019.951720402034</c:v>
                </c:pt>
                <c:pt idx="125" formatCode="0">
                  <c:v>3162.2776601683972</c:v>
                </c:pt>
                <c:pt idx="126" formatCode="0">
                  <c:v>3311.3112148259288</c:v>
                </c:pt>
                <c:pt idx="127" formatCode="0">
                  <c:v>3467.3685045253346</c:v>
                </c:pt>
                <c:pt idx="128" formatCode="0">
                  <c:v>3630.7805477010384</c:v>
                </c:pt>
                <c:pt idx="129" formatCode="0">
                  <c:v>3801.8939632056372</c:v>
                </c:pt>
                <c:pt idx="130" formatCode="0">
                  <c:v>3981.0717055349983</c:v>
                </c:pt>
                <c:pt idx="131" formatCode="0">
                  <c:v>4168.6938347033802</c:v>
                </c:pt>
                <c:pt idx="132" formatCode="0">
                  <c:v>4365.1583224016858</c:v>
                </c:pt>
                <c:pt idx="133" formatCode="0">
                  <c:v>4570.8818961487768</c:v>
                </c:pt>
                <c:pt idx="134" formatCode="0">
                  <c:v>4786.3009232264103</c:v>
                </c:pt>
                <c:pt idx="135" formatCode="0">
                  <c:v>5011.8723362727505</c:v>
                </c:pt>
                <c:pt idx="136" formatCode="0">
                  <c:v>5248.0746024977634</c:v>
                </c:pt>
                <c:pt idx="137" formatCode="0">
                  <c:v>5495.4087385762832</c:v>
                </c:pt>
                <c:pt idx="138" formatCode="0">
                  <c:v>5754.3993733716079</c:v>
                </c:pt>
                <c:pt idx="139" formatCode="0">
                  <c:v>6025.5958607436169</c:v>
                </c:pt>
                <c:pt idx="140" formatCode="0">
                  <c:v>6309.5734448019721</c:v>
                </c:pt>
                <c:pt idx="141" formatCode="0">
                  <c:v>6606.9344800760009</c:v>
                </c:pt>
                <c:pt idx="142" formatCode="0">
                  <c:v>6918.309709189406</c:v>
                </c:pt>
                <c:pt idx="143" formatCode="0">
                  <c:v>7244.3596007499555</c:v>
                </c:pt>
                <c:pt idx="144" formatCode="0">
                  <c:v>7585.775750291893</c:v>
                </c:pt>
                <c:pt idx="145" formatCode="0">
                  <c:v>7943.2823472428718</c:v>
                </c:pt>
                <c:pt idx="146" formatCode="0">
                  <c:v>8317.6377110267676</c:v>
                </c:pt>
                <c:pt idx="147" formatCode="0">
                  <c:v>8709.6358995608662</c:v>
                </c:pt>
                <c:pt idx="148" formatCode="0">
                  <c:v>9120.1083935591578</c:v>
                </c:pt>
                <c:pt idx="149" formatCode="0">
                  <c:v>9549.92586021442</c:v>
                </c:pt>
                <c:pt idx="150" formatCode="General">
                  <c:v>10000.000000000062</c:v>
                </c:pt>
                <c:pt idx="151" formatCode="0">
                  <c:v>10471.285480509057</c:v>
                </c:pt>
                <c:pt idx="152" formatCode="0">
                  <c:v>10964.781961431914</c:v>
                </c:pt>
                <c:pt idx="153" formatCode="0">
                  <c:v>11481.536214968872</c:v>
                </c:pt>
                <c:pt idx="154" formatCode="0">
                  <c:v>12022.644346174173</c:v>
                </c:pt>
                <c:pt idx="155" formatCode="0">
                  <c:v>12589.254117941693</c:v>
                </c:pt>
                <c:pt idx="156" formatCode="0">
                  <c:v>13182.567385564091</c:v>
                </c:pt>
                <c:pt idx="157" formatCode="0">
                  <c:v>13803.842646028841</c:v>
                </c:pt>
                <c:pt idx="158" formatCode="0">
                  <c:v>14454.397707459266</c:v>
                </c:pt>
                <c:pt idx="159" formatCode="0">
                  <c:v>15135.612484362042</c:v>
                </c:pt>
                <c:pt idx="160" formatCode="0">
                  <c:v>15848.93192461109</c:v>
                </c:pt>
                <c:pt idx="161" formatCode="0">
                  <c:v>16595.869074375558</c:v>
                </c:pt>
                <c:pt idx="162" formatCode="0">
                  <c:v>17378.008287493667</c:v>
                </c:pt>
                <c:pt idx="163" formatCode="0">
                  <c:v>18197.008586099739</c:v>
                </c:pt>
                <c:pt idx="164" formatCode="0">
                  <c:v>19054.607179632338</c:v>
                </c:pt>
                <c:pt idx="165" formatCode="0">
                  <c:v>19952.62314968865</c:v>
                </c:pt>
                <c:pt idx="166" formatCode="0">
                  <c:v>20892.961308540202</c:v>
                </c:pt>
                <c:pt idx="167" formatCode="0">
                  <c:v>21877.616239495317</c:v>
                </c:pt>
                <c:pt idx="168" formatCode="0">
                  <c:v>22908.676527677468</c:v>
                </c:pt>
                <c:pt idx="169" formatCode="0">
                  <c:v>23988.329190194625</c:v>
                </c:pt>
                <c:pt idx="170" formatCode="0">
                  <c:v>25118.864315095503</c:v>
                </c:pt>
                <c:pt idx="171" formatCode="0">
                  <c:v>26302.679918953458</c:v>
                </c:pt>
                <c:pt idx="172" formatCode="0">
                  <c:v>27542.287033381279</c:v>
                </c:pt>
                <c:pt idx="173" formatCode="0">
                  <c:v>28840.3150312656</c:v>
                </c:pt>
                <c:pt idx="174" formatCode="0">
                  <c:v>30199.517204019674</c:v>
                </c:pt>
                <c:pt idx="175" formatCode="0">
                  <c:v>31622.776601683221</c:v>
                </c:pt>
                <c:pt idx="176" formatCode="0">
                  <c:v>33113.1121482585</c:v>
                </c:pt>
                <c:pt idx="177" formatCode="0">
                  <c:v>34673.685045252525</c:v>
                </c:pt>
                <c:pt idx="178" formatCode="0">
                  <c:v>36307.805477009388</c:v>
                </c:pt>
                <c:pt idx="179" formatCode="0">
                  <c:v>38018.939632055335</c:v>
                </c:pt>
                <c:pt idx="180" formatCode="0">
                  <c:v>39810.717055348825</c:v>
                </c:pt>
                <c:pt idx="181" formatCode="0">
                  <c:v>41686.938347032592</c:v>
                </c:pt>
                <c:pt idx="182" formatCode="0">
                  <c:v>43651.583224015514</c:v>
                </c:pt>
                <c:pt idx="183" formatCode="0">
                  <c:v>45708.818961486359</c:v>
                </c:pt>
                <c:pt idx="184" formatCode="0">
                  <c:v>47863.009232262542</c:v>
                </c:pt>
                <c:pt idx="185" formatCode="0">
                  <c:v>50118.723362725868</c:v>
                </c:pt>
                <c:pt idx="186" formatCode="0">
                  <c:v>52480.746024975822</c:v>
                </c:pt>
                <c:pt idx="187" formatCode="0">
                  <c:v>54954.087385760846</c:v>
                </c:pt>
                <c:pt idx="188" formatCode="0">
                  <c:v>57543.993733714</c:v>
                </c:pt>
                <c:pt idx="189" formatCode="0">
                  <c:v>60255.95860743388</c:v>
                </c:pt>
                <c:pt idx="190" formatCode="0">
                  <c:v>63095.734448017327</c:v>
                </c:pt>
                <c:pt idx="191" formatCode="0">
                  <c:v>66069.344800757375</c:v>
                </c:pt>
                <c:pt idx="192" formatCode="0">
                  <c:v>69183.097091891308</c:v>
                </c:pt>
                <c:pt idx="193" formatCode="0">
                  <c:v>72443.59600749641</c:v>
                </c:pt>
                <c:pt idx="194" formatCode="0">
                  <c:v>75857.757502915643</c:v>
                </c:pt>
                <c:pt idx="195" formatCode="0">
                  <c:v>79432.823472425283</c:v>
                </c:pt>
                <c:pt idx="196" formatCode="0">
                  <c:v>83176.377110263929</c:v>
                </c:pt>
                <c:pt idx="197" formatCode="0">
                  <c:v>87096.358995604722</c:v>
                </c:pt>
                <c:pt idx="198" formatCode="0">
                  <c:v>91201.083935587303</c:v>
                </c:pt>
                <c:pt idx="199" formatCode="0">
                  <c:v>95499.258602139729</c:v>
                </c:pt>
                <c:pt idx="200" formatCode="General">
                  <c:v>99999.999999995751</c:v>
                </c:pt>
                <c:pt idx="201" formatCode="0">
                  <c:v>104712.85480508549</c:v>
                </c:pt>
                <c:pt idx="202" formatCode="0">
                  <c:v>109647.81961431362</c:v>
                </c:pt>
                <c:pt idx="203" formatCode="0">
                  <c:v>114815.36214968313</c:v>
                </c:pt>
                <c:pt idx="204" formatCode="0">
                  <c:v>120226.44346173588</c:v>
                </c:pt>
                <c:pt idx="205" formatCode="0">
                  <c:v>125892.54117941081</c:v>
                </c:pt>
                <c:pt idx="206" formatCode="0">
                  <c:v>131825.67385563449</c:v>
                </c:pt>
                <c:pt idx="207" formatCode="0">
                  <c:v>138038.42646028171</c:v>
                </c:pt>
                <c:pt idx="208" formatCode="0">
                  <c:v>144543.97707458562</c:v>
                </c:pt>
                <c:pt idx="209" formatCode="0">
                  <c:v>151356.12484361307</c:v>
                </c:pt>
                <c:pt idx="210" formatCode="0">
                  <c:v>158489.3192461032</c:v>
                </c:pt>
                <c:pt idx="211" formatCode="0">
                  <c:v>165958.6907437472</c:v>
                </c:pt>
                <c:pt idx="212" formatCode="0">
                  <c:v>173780.08287492822</c:v>
                </c:pt>
                <c:pt idx="213" formatCode="0">
                  <c:v>181970.08586098856</c:v>
                </c:pt>
                <c:pt idx="214" formatCode="0">
                  <c:v>190546.07179631409</c:v>
                </c:pt>
                <c:pt idx="215" formatCode="0">
                  <c:v>199526.2314968768</c:v>
                </c:pt>
                <c:pt idx="216" formatCode="0">
                  <c:v>208929.61308539184</c:v>
                </c:pt>
                <c:pt idx="217" formatCode="0">
                  <c:v>218776.16239494254</c:v>
                </c:pt>
                <c:pt idx="218" formatCode="0">
                  <c:v>229086.76527676353</c:v>
                </c:pt>
                <c:pt idx="219" formatCode="0">
                  <c:v>239883.2919019346</c:v>
                </c:pt>
                <c:pt idx="220" formatCode="0">
                  <c:v>251188.64315094237</c:v>
                </c:pt>
                <c:pt idx="221" formatCode="0">
                  <c:v>263026.79918952176</c:v>
                </c:pt>
                <c:pt idx="222" formatCode="0">
                  <c:v>275422.87033379939</c:v>
                </c:pt>
                <c:pt idx="223" formatCode="0">
                  <c:v>288403.15031264198</c:v>
                </c:pt>
                <c:pt idx="224" formatCode="0">
                  <c:v>301995.17204018205</c:v>
                </c:pt>
                <c:pt idx="225" formatCode="0">
                  <c:v>316227.76601681684</c:v>
                </c:pt>
                <c:pt idx="226" formatCode="0">
                  <c:v>331131.12148256891</c:v>
                </c:pt>
                <c:pt idx="227" formatCode="0">
                  <c:v>346736.85045250773</c:v>
                </c:pt>
                <c:pt idx="228" formatCode="0">
                  <c:v>363078.05477007624</c:v>
                </c:pt>
                <c:pt idx="229" formatCode="0">
                  <c:v>380189.39632053417</c:v>
                </c:pt>
                <c:pt idx="230" formatCode="0">
                  <c:v>398107.17055346887</c:v>
                </c:pt>
                <c:pt idx="231" formatCode="0">
                  <c:v>416869.38347030559</c:v>
                </c:pt>
                <c:pt idx="232" formatCode="0">
                  <c:v>436515.8322401339</c:v>
                </c:pt>
                <c:pt idx="233" formatCode="0">
                  <c:v>457088.18961484137</c:v>
                </c:pt>
                <c:pt idx="234" formatCode="0">
                  <c:v>478630.09232260217</c:v>
                </c:pt>
                <c:pt idx="235" formatCode="0">
                  <c:v>501187.23362723429</c:v>
                </c:pt>
                <c:pt idx="236" formatCode="0">
                  <c:v>524807.46024973178</c:v>
                </c:pt>
                <c:pt idx="237" formatCode="0">
                  <c:v>549540.87385758176</c:v>
                </c:pt>
                <c:pt idx="238" formatCode="0">
                  <c:v>575439.93733711203</c:v>
                </c:pt>
                <c:pt idx="239" formatCode="0">
                  <c:v>602559.58607430954</c:v>
                </c:pt>
                <c:pt idx="240" formatCode="0">
                  <c:v>630957.34448014258</c:v>
                </c:pt>
                <c:pt idx="241" formatCode="0">
                  <c:v>660693.44800754171</c:v>
                </c:pt>
                <c:pt idx="242" formatCode="0">
                  <c:v>691830.9709188795</c:v>
                </c:pt>
                <c:pt idx="243" formatCode="0">
                  <c:v>724435.96007492894</c:v>
                </c:pt>
                <c:pt idx="244" formatCode="0">
                  <c:v>758577.57502911962</c:v>
                </c:pt>
                <c:pt idx="245" formatCode="0">
                  <c:v>794328.23472421279</c:v>
                </c:pt>
                <c:pt idx="246" formatCode="0">
                  <c:v>831763.77110259887</c:v>
                </c:pt>
                <c:pt idx="247" formatCode="0">
                  <c:v>870963.58995600487</c:v>
                </c:pt>
                <c:pt idx="248" formatCode="0">
                  <c:v>912010.83935582871</c:v>
                </c:pt>
                <c:pt idx="249" formatCode="0">
                  <c:v>954992.58602135081</c:v>
                </c:pt>
                <c:pt idx="250" formatCode="General">
                  <c:v>999999.99999990896</c:v>
                </c:pt>
              </c:numCache>
            </c:numRef>
          </c:xVal>
          <c:yVal>
            <c:numRef>
              <c:f>'Input and Results'!$S$80:$S$330</c:f>
              <c:numCache>
                <c:formatCode>0.000</c:formatCode>
                <c:ptCount val="251"/>
                <c:pt idx="0">
                  <c:v>14.990440960858564</c:v>
                </c:pt>
                <c:pt idx="1">
                  <c:v>14.990443070572626</c:v>
                </c:pt>
                <c:pt idx="2">
                  <c:v>14.990445383810204</c:v>
                </c:pt>
                <c:pt idx="3">
                  <c:v>14.990447920203273</c:v>
                </c:pt>
                <c:pt idx="4">
                  <c:v>14.990450701277114</c:v>
                </c:pt>
                <c:pt idx="5">
                  <c:v>14.990453750632845</c:v>
                </c:pt>
                <c:pt idx="6">
                  <c:v>14.990457094147548</c:v>
                </c:pt>
                <c:pt idx="7">
                  <c:v>14.990460760193589</c:v>
                </c:pt>
                <c:pt idx="8">
                  <c:v>14.990464779879137</c:v>
                </c:pt>
                <c:pt idx="9">
                  <c:v>14.990469187311735</c:v>
                </c:pt>
                <c:pt idx="10">
                  <c:v>14.990474019887419</c:v>
                </c:pt>
                <c:pt idx="11">
                  <c:v>14.990479318607417</c:v>
                </c:pt>
                <c:pt idx="12">
                  <c:v>14.990485128425517</c:v>
                </c:pt>
                <c:pt idx="13">
                  <c:v>14.990491498628728</c:v>
                </c:pt>
                <c:pt idx="14">
                  <c:v>14.990498483254564</c:v>
                </c:pt>
                <c:pt idx="15">
                  <c:v>14.990506141548416</c:v>
                </c:pt>
                <c:pt idx="16">
                  <c:v>14.990514538464927</c:v>
                </c:pt>
                <c:pt idx="17">
                  <c:v>14.990523745217398</c:v>
                </c:pt>
                <c:pt idx="18">
                  <c:v>14.990533839880062</c:v>
                </c:pt>
                <c:pt idx="19">
                  <c:v>14.990544908048008</c:v>
                </c:pt>
                <c:pt idx="20">
                  <c:v>14.990557043560441</c:v>
                </c:pt>
                <c:pt idx="21">
                  <c:v>14.990570349293302</c:v>
                </c:pt>
                <c:pt idx="22">
                  <c:v>14.990584938027681</c:v>
                </c:pt>
                <c:pt idx="23">
                  <c:v>14.990600933401407</c:v>
                </c:pt>
                <c:pt idx="24">
                  <c:v>14.990618470951567</c:v>
                </c:pt>
                <c:pt idx="25">
                  <c:v>14.990637699256709</c:v>
                </c:pt>
                <c:pt idx="26">
                  <c:v>14.99065878118796</c:v>
                </c:pt>
                <c:pt idx="27">
                  <c:v>14.990681895279467</c:v>
                </c:pt>
                <c:pt idx="28">
                  <c:v>14.990707237229374</c:v>
                </c:pt>
                <c:pt idx="29">
                  <c:v>14.990735021543509</c:v>
                </c:pt>
                <c:pt idx="30">
                  <c:v>14.990765483335162</c:v>
                </c:pt>
                <c:pt idx="31">
                  <c:v>14.990798880295642</c:v>
                </c:pt>
                <c:pt idx="32">
                  <c:v>14.990835494851247</c:v>
                </c:pt>
                <c:pt idx="33">
                  <c:v>14.990875636524184</c:v>
                </c:pt>
                <c:pt idx="34">
                  <c:v>14.990919644515991</c:v>
                </c:pt>
                <c:pt idx="35">
                  <c:v>14.990967890534179</c:v>
                </c:pt>
                <c:pt idx="36">
                  <c:v>14.99102078188403</c:v>
                </c:pt>
                <c:pt idx="37">
                  <c:v>14.991078764849897</c:v>
                </c:pt>
                <c:pt idx="38">
                  <c:v>14.99114232839197</c:v>
                </c:pt>
                <c:pt idx="39">
                  <c:v>14.991212008186901</c:v>
                </c:pt>
                <c:pt idx="40">
                  <c:v>14.991288391042923</c:v>
                </c:pt>
                <c:pt idx="41">
                  <c:v>14.991372119722381</c:v>
                </c:pt>
                <c:pt idx="42">
                  <c:v>14.991463898207467</c:v>
                </c:pt>
                <c:pt idx="43">
                  <c:v>14.991564497447378</c:v>
                </c:pt>
                <c:pt idx="44">
                  <c:v>14.991674761628133</c:v>
                </c:pt>
                <c:pt idx="45">
                  <c:v>14.991795615009121</c:v>
                </c:pt>
                <c:pt idx="46">
                  <c:v>14.991928069373483</c:v>
                </c:pt>
                <c:pt idx="47">
                  <c:v>14.992073232142468</c:v>
                </c:pt>
                <c:pt idx="48">
                  <c:v>14.992232315207092</c:v>
                </c:pt>
                <c:pt idx="49">
                  <c:v>14.992406644533226</c:v>
                </c:pt>
                <c:pt idx="50">
                  <c:v>14.992597670599416</c:v>
                </c:pt>
                <c:pt idx="51">
                  <c:v>14.992806979729297</c:v>
                </c:pt>
                <c:pt idx="52">
                  <c:v>14.993036306382869</c:v>
                </c:pt>
                <c:pt idx="53">
                  <c:v>14.993287546473136</c:v>
                </c:pt>
                <c:pt idx="54">
                  <c:v>14.993562771775617</c:v>
                </c:pt>
                <c:pt idx="55">
                  <c:v>14.993864245499438</c:v>
                </c:pt>
                <c:pt idx="56">
                  <c:v>14.994194439087634</c:v>
                </c:pt>
                <c:pt idx="57">
                  <c:v>14.994556050313459</c:v>
                </c:pt>
                <c:pt idx="58">
                  <c:v>14.994952022735614</c:v>
                </c:pt>
                <c:pt idx="59">
                  <c:v>14.99538556657021</c:v>
                </c:pt>
                <c:pt idx="60">
                  <c:v>14.995860181030052</c:v>
                </c:pt>
                <c:pt idx="61">
                  <c:v>14.996379678170404</c:v>
                </c:pt>
                <c:pt idx="62">
                  <c:v>14.996948208267044</c:v>
                </c:pt>
                <c:pt idx="63">
                  <c:v>14.997570286733303</c:v>
                </c:pt>
                <c:pt idx="64">
                  <c:v>14.998250822559879</c:v>
                </c:pt>
                <c:pt idx="65">
                  <c:v>14.998995148231678</c:v>
                </c:pt>
                <c:pt idx="66">
                  <c:v>14.999809051039934</c:v>
                </c:pt>
                <c:pt idx="67">
                  <c:v>15.000698805664188</c:v>
                </c:pt>
                <c:pt idx="68">
                  <c:v>15.00167120784595</c:v>
                </c:pt>
                <c:pt idx="69">
                  <c:v>15.002733608913619</c:v>
                </c:pt>
                <c:pt idx="70">
                  <c:v>15.003893950844628</c:v>
                </c:pt>
                <c:pt idx="71">
                  <c:v>15.00516080146606</c:v>
                </c:pt>
                <c:pt idx="72">
                  <c:v>15.006543389297086</c:v>
                </c:pt>
                <c:pt idx="73">
                  <c:v>15.008051637426316</c:v>
                </c:pt>
                <c:pt idx="74">
                  <c:v>15.009696195694023</c:v>
                </c:pt>
                <c:pt idx="75">
                  <c:v>15.011488470313616</c:v>
                </c:pt>
                <c:pt idx="76">
                  <c:v>15.01344064992152</c:v>
                </c:pt>
                <c:pt idx="77">
                  <c:v>15.015565726891342</c:v>
                </c:pt>
                <c:pt idx="78">
                  <c:v>15.017877512591809</c:v>
                </c:pt>
                <c:pt idx="79">
                  <c:v>15.020390645115235</c:v>
                </c:pt>
                <c:pt idx="80">
                  <c:v>15.023120587861094</c:v>
                </c:pt>
                <c:pt idx="81">
                  <c:v>15.0260836172409</c:v>
                </c:pt>
                <c:pt idx="82">
                  <c:v>15.029296797687602</c:v>
                </c:pt>
                <c:pt idx="83">
                  <c:v>15.032777942124408</c:v>
                </c:pt>
                <c:pt idx="84">
                  <c:v>15.036545556092628</c:v>
                </c:pt>
                <c:pt idx="85">
                  <c:v>15.040618763880076</c:v>
                </c:pt>
                <c:pt idx="86">
                  <c:v>15.045017215255882</c:v>
                </c:pt>
                <c:pt idx="87">
                  <c:v>15.049760971829741</c:v>
                </c:pt>
                <c:pt idx="88">
                  <c:v>15.054870372640906</c:v>
                </c:pt>
                <c:pt idx="89">
                  <c:v>15.060365879366401</c:v>
                </c:pt>
                <c:pt idx="90">
                  <c:v>15.066267902534268</c:v>
                </c:pt>
                <c:pt idx="91">
                  <c:v>15.072596611346805</c:v>
                </c:pt>
                <c:pt idx="92">
                  <c:v>15.07937173114551</c:v>
                </c:pt>
                <c:pt idx="93">
                  <c:v>15.08661233416607</c:v>
                </c:pt>
                <c:pt idx="94">
                  <c:v>15.094336630976992</c:v>
                </c:pt>
                <c:pt idx="95">
                  <c:v>15.102561771805474</c:v>
                </c:pt>
                <c:pt idx="96">
                  <c:v>15.111303668713083</c:v>
                </c:pt>
                <c:pt idx="97">
                  <c:v>15.120576851171709</c:v>
                </c:pt>
                <c:pt idx="98">
                  <c:v>15.13039436885169</c:v>
                </c:pt>
                <c:pt idx="99">
                  <c:v>15.140767756212858</c:v>
                </c:pt>
                <c:pt idx="100">
                  <c:v>15.151707073626268</c:v>
                </c:pt>
                <c:pt idx="101">
                  <c:v>15.163221039115475</c:v>
                </c:pt>
                <c:pt idx="102">
                  <c:v>15.175317263301839</c:v>
                </c:pt>
                <c:pt idx="103">
                  <c:v>15.188002597730188</c:v>
                </c:pt>
                <c:pt idx="104">
                  <c:v>15.201283603495453</c:v>
                </c:pt>
                <c:pt idx="105">
                  <c:v>15.215167143110044</c:v>
                </c:pt>
                <c:pt idx="106">
                  <c:v>15.229661094080306</c:v>
                </c:pt>
                <c:pt idx="107">
                  <c:v>15.244775177991986</c:v>
                </c:pt>
                <c:pt idx="108">
                  <c:v>15.260521894383519</c:v>
                </c:pt>
                <c:pt idx="109">
                  <c:v>15.276917544695225</c:v>
                </c:pt>
                <c:pt idx="110">
                  <c:v>15.293983328452498</c:v>
                </c:pt>
                <c:pt idx="111">
                  <c:v>15.311746491861935</c:v>
                </c:pt>
                <c:pt idx="112">
                  <c:v>15.330241508345388</c:v>
                </c:pt>
                <c:pt idx="113">
                  <c:v>15.349511271263642</c:v>
                </c:pt>
                <c:pt idx="114">
                  <c:v>15.369608281099447</c:v>
                </c:pt>
                <c:pt idx="115">
                  <c:v>15.390595812469584</c:v>
                </c:pt>
                <c:pt idx="116">
                  <c:v>15.41254905018474</c:v>
                </c:pt>
                <c:pt idx="117">
                  <c:v>15.435556187774768</c:v>
                </c:pt>
                <c:pt idx="118">
                  <c:v>15.459719485993483</c:v>
                </c:pt>
                <c:pt idx="119">
                  <c:v>15.48515629236039</c:v>
                </c:pt>
                <c:pt idx="120">
                  <c:v>15.512000025338764</c:v>
                </c:pt>
                <c:pt idx="121">
                  <c:v>15.540401127881394</c:v>
                </c:pt>
                <c:pt idx="122">
                  <c:v>15.570527994403477</c:v>
                </c:pt>
                <c:pt idx="123">
                  <c:v>15.602567872367379</c:v>
                </c:pt>
                <c:pt idx="124">
                  <c:v>15.636727734150819</c:v>
                </c:pt>
                <c:pt idx="125">
                  <c:v>15.673235106154316</c:v>
                </c:pt>
                <c:pt idx="126">
                  <c:v>15.712338829452101</c:v>
                </c:pt>
                <c:pt idx="127">
                  <c:v>15.754309708628053</c:v>
                </c:pt>
                <c:pt idx="128">
                  <c:v>15.79944098127887</c:v>
                </c:pt>
                <c:pt idx="129">
                  <c:v>15.848048507838461</c:v>
                </c:pt>
                <c:pt idx="130">
                  <c:v>15.90047053685322</c:v>
                </c:pt>
                <c:pt idx="131">
                  <c:v>15.957066840326</c:v>
                </c:pt>
                <c:pt idx="132">
                  <c:v>16.018216931264647</c:v>
                </c:pt>
                <c:pt idx="133">
                  <c:v>16.084316962827689</c:v>
                </c:pt>
                <c:pt idx="134">
                  <c:v>16.155774754014441</c:v>
                </c:pt>
                <c:pt idx="135">
                  <c:v>16.233002175091649</c:v>
                </c:pt>
                <c:pt idx="136">
                  <c:v>16.3164038358568</c:v>
                </c:pt>
                <c:pt idx="137">
                  <c:v>16.406360623627073</c:v>
                </c:pt>
                <c:pt idx="138">
                  <c:v>16.503206100027079</c:v>
                </c:pt>
                <c:pt idx="139">
                  <c:v>16.607193043332057</c:v>
                </c:pt>
                <c:pt idx="140">
                  <c:v>16.718446469816826</c:v>
                </c:pt>
                <c:pt idx="141">
                  <c:v>16.836898244776041</c:v>
                </c:pt>
                <c:pt idx="142">
                  <c:v>16.962196899087793</c:v>
                </c:pt>
                <c:pt idx="143">
                  <c:v>17.093584593554777</c:v>
                </c:pt>
                <c:pt idx="144">
                  <c:v>17.229731627359218</c:v>
                </c:pt>
                <c:pt idx="145">
                  <c:v>17.368518202781004</c:v>
                </c:pt>
                <c:pt idx="146">
                  <c:v>17.506754848605336</c:v>
                </c:pt>
                <c:pt idx="147">
                  <c:v>17.639839747758991</c:v>
                </c:pt>
                <c:pt idx="148">
                  <c:v>17.761367698294436</c:v>
                </c:pt>
                <c:pt idx="149">
                  <c:v>17.862737507922681</c:v>
                </c:pt>
                <c:pt idx="150">
                  <c:v>17.932857186951587</c:v>
                </c:pt>
                <c:pt idx="151">
                  <c:v>17.958115953000373</c:v>
                </c:pt>
                <c:pt idx="152">
                  <c:v>17.922853604427367</c:v>
                </c:pt>
                <c:pt idx="153">
                  <c:v>17.810551293201883</c:v>
                </c:pt>
                <c:pt idx="154">
                  <c:v>17.605810233653084</c:v>
                </c:pt>
                <c:pt idx="155">
                  <c:v>17.296840778053738</c:v>
                </c:pt>
                <c:pt idx="156">
                  <c:v>16.877776699127306</c:v>
                </c:pt>
                <c:pt idx="157">
                  <c:v>16.349956893054078</c:v>
                </c:pt>
                <c:pt idx="158">
                  <c:v>15.721627599203249</c:v>
                </c:pt>
                <c:pt idx="159">
                  <c:v>15.006196347540852</c:v>
                </c:pt>
                <c:pt idx="160">
                  <c:v>14.219755567762142</c:v>
                </c:pt>
                <c:pt idx="161">
                  <c:v>13.378719151514041</c:v>
                </c:pt>
                <c:pt idx="162">
                  <c:v>12.498118668330287</c:v>
                </c:pt>
                <c:pt idx="163">
                  <c:v>11.590693943793395</c:v>
                </c:pt>
                <c:pt idx="164">
                  <c:v>10.666632480117213</c:v>
                </c:pt>
                <c:pt idx="165">
                  <c:v>9.7337182523869163</c:v>
                </c:pt>
                <c:pt idx="166">
                  <c:v>8.797677696110016</c:v>
                </c:pt>
                <c:pt idx="167">
                  <c:v>7.8625801254954828</c:v>
                </c:pt>
                <c:pt idx="168">
                  <c:v>6.9312147055653517</c:v>
                </c:pt>
                <c:pt idx="169">
                  <c:v>6.0054109751457965</c:v>
                </c:pt>
                <c:pt idx="170">
                  <c:v>5.0862956290432226</c:v>
                </c:pt>
                <c:pt idx="171">
                  <c:v>4.17449062938935</c:v>
                </c:pt>
                <c:pt idx="172">
                  <c:v>3.2702622711591012</c:v>
                </c:pt>
                <c:pt idx="173">
                  <c:v>2.3736314143238553</c:v>
                </c:pt>
                <c:pt idx="174">
                  <c:v>1.4844539742564589</c:v>
                </c:pt>
                <c:pt idx="175">
                  <c:v>0.60247911340717819</c:v>
                </c:pt>
                <c:pt idx="176">
                  <c:v>-0.27260905246532569</c:v>
                </c:pt>
                <c:pt idx="177">
                  <c:v>-1.141161820484313</c:v>
                </c:pt>
                <c:pt idx="178">
                  <c:v>-2.0035450483412371</c:v>
                </c:pt>
                <c:pt idx="179">
                  <c:v>-2.860124656809087</c:v>
                </c:pt>
                <c:pt idx="180">
                  <c:v>-3.7112567103161966</c:v>
                </c:pt>
                <c:pt idx="181">
                  <c:v>-4.5572807803340503</c:v>
                </c:pt>
                <c:pt idx="182">
                  <c:v>-5.3985156498419871</c:v>
                </c:pt>
                <c:pt idx="183">
                  <c:v>-6.2352566752634218</c:v>
                </c:pt>
                <c:pt idx="184">
                  <c:v>-7.0677743101981951</c:v>
                </c:pt>
                <c:pt idx="185">
                  <c:v>-7.8963134319262149</c:v>
                </c:pt>
                <c:pt idx="186">
                  <c:v>-8.7210932110119384</c:v>
                </c:pt>
                <c:pt idx="187">
                  <c:v>-9.5423073366404445</c:v>
                </c:pt>
                <c:pt idx="188">
                  <c:v>-10.360124462998787</c:v>
                </c:pt>
                <c:pt idx="189">
                  <c:v>-11.174688780496048</c:v>
                </c:pt>
                <c:pt idx="190">
                  <c:v>-11.986120643799387</c:v>
                </c:pt>
                <c:pt idx="191">
                  <c:v>-12.794517209386484</c:v>
                </c:pt>
                <c:pt idx="192">
                  <c:v>-13.599953050654538</c:v>
                </c:pt>
                <c:pt idx="193">
                  <c:v>-14.402480730055585</c:v>
                </c:pt>
                <c:pt idx="194">
                  <c:v>-15.202131316368511</c:v>
                </c:pt>
                <c:pt idx="195">
                  <c:v>-15.998914841847984</c:v>
                </c:pt>
                <c:pt idx="196">
                  <c:v>-16.792820699209297</c:v>
                </c:pt>
                <c:pt idx="197">
                  <c:v>-17.58381798263769</c:v>
                </c:pt>
                <c:pt idx="198">
                  <c:v>-18.371855780562917</c:v>
                </c:pt>
                <c:pt idx="199">
                  <c:v>-19.156863431047736</c:v>
                </c:pt>
                <c:pt idx="200">
                  <c:v>-19.938750753442495</c:v>
                </c:pt>
                <c:pt idx="201">
                  <c:v>-20.717408272577721</c:v>
                </c:pt>
                <c:pt idx="202">
                  <c:v>-21.49270745423793</c:v>
                </c:pt>
                <c:pt idx="203">
                  <c:v>-22.264500973013885</c:v>
                </c:pt>
                <c:pt idx="204">
                  <c:v>-23.032623035828031</c:v>
                </c:pt>
                <c:pt idx="205">
                  <c:v>-23.796889786422888</c:v>
                </c:pt>
                <c:pt idx="206">
                  <c:v>-24.557099817787957</c:v>
                </c:pt>
                <c:pt idx="207">
                  <c:v>-25.313034820758752</c:v>
                </c:pt>
                <c:pt idx="208">
                  <c:v>-26.064460397688119</c:v>
                </c:pt>
                <c:pt idx="209">
                  <c:v>-26.811127069982955</c:v>
                </c:pt>
                <c:pt idx="210">
                  <c:v>-27.552771507216924</c:v>
                </c:pt>
                <c:pt idx="211">
                  <c:v>-28.289118003259965</c:v>
                </c:pt>
                <c:pt idx="212">
                  <c:v>-29.019880221212908</c:v>
                </c:pt>
                <c:pt idx="213">
                  <c:v>-29.744763223721968</c:v>
                </c:pt>
                <c:pt idx="214">
                  <c:v>-30.463465798358978</c:v>
                </c:pt>
                <c:pt idx="215">
                  <c:v>-31.175683079139482</c:v>
                </c:pt>
                <c:pt idx="216">
                  <c:v>-31.881109454991908</c:v>
                </c:pt>
                <c:pt idx="217">
                  <c:v>-32.579441744259213</c:v>
                </c:pt>
                <c:pt idx="218">
                  <c:v>-33.270382601484947</c:v>
                </c:pt>
                <c:pt idx="219">
                  <c:v>-33.95364410929141</c:v>
                </c:pt>
                <c:pt idx="220">
                  <c:v>-34.628951494773844</c:v>
                </c:pt>
                <c:pt idx="221">
                  <c:v>-35.296046897298993</c:v>
                </c:pt>
                <c:pt idx="222">
                  <c:v>-35.954693103791406</c:v>
                </c:pt>
                <c:pt idx="223">
                  <c:v>-36.604677159414948</c:v>
                </c:pt>
                <c:pt idx="224">
                  <c:v>-37.245813756862461</c:v>
                </c:pt>
                <c:pt idx="225">
                  <c:v>-37.87794830695703</c:v>
                </c:pt>
                <c:pt idx="226">
                  <c:v>-38.500959597405796</c:v>
                </c:pt>
                <c:pt idx="227">
                  <c:v>-39.114761955514645</c:v>
                </c:pt>
                <c:pt idx="228">
                  <c:v>-39.719306844249701</c:v>
                </c:pt>
                <c:pt idx="229">
                  <c:v>-40.314583838692144</c:v>
                </c:pt>
                <c:pt idx="230">
                  <c:v>-40.900620950728033</c:v>
                </c:pt>
                <c:pt idx="231">
                  <c:v>-41.477484292591704</c:v>
                </c:pt>
                <c:pt idx="232">
                  <c:v>-42.045277093245844</c:v>
                </c:pt>
                <c:pt idx="233">
                  <c:v>-42.604138104131444</c:v>
                </c:pt>
                <c:pt idx="234">
                  <c:v>-43.154239451194805</c:v>
                </c:pt>
                <c:pt idx="235">
                  <c:v>-43.695784007163184</c:v>
                </c:pt>
                <c:pt idx="236">
                  <c:v>-44.229002370924697</c:v>
                </c:pt>
                <c:pt idx="237">
                  <c:v>-44.754149549080665</c:v>
                </c:pt>
                <c:pt idx="238">
                  <c:v>-45.271501438141641</c:v>
                </c:pt>
                <c:pt idx="239">
                  <c:v>-45.781351204651735</c:v>
                </c:pt>
                <c:pt idx="240">
                  <c:v>-46.284005655266753</c:v>
                </c:pt>
                <c:pt idx="241">
                  <c:v>-46.779781680209283</c:v>
                </c:pt>
                <c:pt idx="242">
                  <c:v>-47.269002842446717</c:v>
                </c:pt>
                <c:pt idx="243">
                  <c:v>-47.751996172285956</c:v>
                </c:pt>
                <c:pt idx="244">
                  <c:v>-48.229089213718936</c:v>
                </c:pt>
                <c:pt idx="245">
                  <c:v>-48.700607355571606</c:v>
                </c:pt>
                <c:pt idx="246">
                  <c:v>-49.166871467927052</c:v>
                </c:pt>
                <c:pt idx="247">
                  <c:v>-49.628195852904568</c:v>
                </c:pt>
                <c:pt idx="248">
                  <c:v>-50.084886508995858</c:v>
                </c:pt>
                <c:pt idx="249">
                  <c:v>-50.537239699960217</c:v>
                </c:pt>
                <c:pt idx="250">
                  <c:v>-50.985540812810022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35-4211-8C5E-94ED0B56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616495"/>
        <c:axId val="1"/>
      </c:scatterChart>
      <c:scatterChart>
        <c:scatterStyle val="lineMarker"/>
        <c:varyColors val="0"/>
        <c:ser>
          <c:idx val="1"/>
          <c:order val="1"/>
          <c:tx>
            <c:v>Phase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'Input and Results'!$C$80:$C$330</c:f>
              <c:numCache>
                <c:formatCode>0.00</c:formatCode>
                <c:ptCount val="251"/>
                <c:pt idx="0" formatCode="General">
                  <c:v>10</c:v>
                </c:pt>
                <c:pt idx="1">
                  <c:v>10.471285480509</c:v>
                </c:pt>
                <c:pt idx="2">
                  <c:v>10.964781961431854</c:v>
                </c:pt>
                <c:pt idx="3">
                  <c:v>11.481536214968834</c:v>
                </c:pt>
                <c:pt idx="4">
                  <c:v>12.022644346174133</c:v>
                </c:pt>
                <c:pt idx="5">
                  <c:v>12.58925411794168</c:v>
                </c:pt>
                <c:pt idx="6">
                  <c:v>13.182567385564075</c:v>
                </c:pt>
                <c:pt idx="7">
                  <c:v>13.803842646028857</c:v>
                </c:pt>
                <c:pt idx="8">
                  <c:v>14.454397707459282</c:v>
                </c:pt>
                <c:pt idx="9">
                  <c:v>15.135612484362092</c:v>
                </c:pt>
                <c:pt idx="10">
                  <c:v>15.848931924611144</c:v>
                </c:pt>
                <c:pt idx="11">
                  <c:v>16.595869074375621</c:v>
                </c:pt>
                <c:pt idx="12">
                  <c:v>17.378008287493763</c:v>
                </c:pt>
                <c:pt idx="13">
                  <c:v>18.197008586099848</c:v>
                </c:pt>
                <c:pt idx="14">
                  <c:v>19.054607179632484</c:v>
                </c:pt>
                <c:pt idx="15">
                  <c:v>19.952623149688815</c:v>
                </c:pt>
                <c:pt idx="16">
                  <c:v>20.892961308540418</c:v>
                </c:pt>
                <c:pt idx="17">
                  <c:v>21.877616239495548</c:v>
                </c:pt>
                <c:pt idx="18">
                  <c:v>22.908676527677759</c:v>
                </c:pt>
                <c:pt idx="19">
                  <c:v>23.988329190194928</c:v>
                </c:pt>
                <c:pt idx="20">
                  <c:v>25.118864315095834</c:v>
                </c:pt>
                <c:pt idx="21">
                  <c:v>26.302679918953849</c:v>
                </c:pt>
                <c:pt idx="22">
                  <c:v>27.542287033381701</c:v>
                </c:pt>
                <c:pt idx="23">
                  <c:v>28.840315031266094</c:v>
                </c:pt>
                <c:pt idx="24">
                  <c:v>30.199517204020204</c:v>
                </c:pt>
                <c:pt idx="25">
                  <c:v>31.622776601683832</c:v>
                </c:pt>
                <c:pt idx="26">
                  <c:v>33.113112148259155</c:v>
                </c:pt>
                <c:pt idx="27">
                  <c:v>34.673685045253208</c:v>
                </c:pt>
                <c:pt idx="28">
                  <c:v>36.307805477010191</c:v>
                </c:pt>
                <c:pt idx="29">
                  <c:v>38.018939632056167</c:v>
                </c:pt>
                <c:pt idx="30">
                  <c:v>39.810717055349791</c:v>
                </c:pt>
                <c:pt idx="31">
                  <c:v>41.686938347033596</c:v>
                </c:pt>
                <c:pt idx="32">
                  <c:v>43.651583224016669</c:v>
                </c:pt>
                <c:pt idx="33">
                  <c:v>45.708818961487587</c:v>
                </c:pt>
                <c:pt idx="34">
                  <c:v>47.86300923226392</c:v>
                </c:pt>
                <c:pt idx="35">
                  <c:v>50.11872336272733</c:v>
                </c:pt>
                <c:pt idx="36">
                  <c:v>52.48074602497735</c:v>
                </c:pt>
                <c:pt idx="37">
                  <c:v>54.95408738576257</c:v>
                </c:pt>
                <c:pt idx="38">
                  <c:v>57.543993733715801</c:v>
                </c:pt>
                <c:pt idx="39">
                  <c:v>60.255958607435872</c:v>
                </c:pt>
                <c:pt idx="40">
                  <c:v>63.095734448019471</c:v>
                </c:pt>
                <c:pt idx="41">
                  <c:v>66.069344800759737</c:v>
                </c:pt>
                <c:pt idx="42">
                  <c:v>69.183097091893785</c:v>
                </c:pt>
                <c:pt idx="43">
                  <c:v>72.443596007499139</c:v>
                </c:pt>
                <c:pt idx="44">
                  <c:v>75.85775750291856</c:v>
                </c:pt>
                <c:pt idx="45">
                  <c:v>79.432823472428325</c:v>
                </c:pt>
                <c:pt idx="46">
                  <c:v>83.176377110267268</c:v>
                </c:pt>
                <c:pt idx="47">
                  <c:v>87.096358995608313</c:v>
                </c:pt>
                <c:pt idx="48">
                  <c:v>91.201083935591214</c:v>
                </c:pt>
                <c:pt idx="49">
                  <c:v>95.499258602143826</c:v>
                </c:pt>
                <c:pt idx="50">
                  <c:v>100.00000000000023</c:v>
                </c:pt>
                <c:pt idx="51">
                  <c:v>104.71285480509026</c:v>
                </c:pt>
                <c:pt idx="52">
                  <c:v>109.64781961431881</c:v>
                </c:pt>
                <c:pt idx="53">
                  <c:v>114.81536214968857</c:v>
                </c:pt>
                <c:pt idx="54">
                  <c:v>120.22644346174157</c:v>
                </c:pt>
                <c:pt idx="55">
                  <c:v>125.89254117941711</c:v>
                </c:pt>
                <c:pt idx="56">
                  <c:v>131.82567385564107</c:v>
                </c:pt>
                <c:pt idx="57">
                  <c:v>138.03842646028886</c:v>
                </c:pt>
                <c:pt idx="58">
                  <c:v>144.5439770745931</c:v>
                </c:pt>
                <c:pt idx="59">
                  <c:v>151.3561248436213</c:v>
                </c:pt>
                <c:pt idx="60">
                  <c:v>158.48931924611182</c:v>
                </c:pt>
                <c:pt idx="61">
                  <c:v>165.95869074375653</c:v>
                </c:pt>
                <c:pt idx="62">
                  <c:v>173.78008287493799</c:v>
                </c:pt>
                <c:pt idx="63">
                  <c:v>181.97008586099895</c:v>
                </c:pt>
                <c:pt idx="64">
                  <c:v>190.54607179632529</c:v>
                </c:pt>
                <c:pt idx="65">
                  <c:v>199.52623149688853</c:v>
                </c:pt>
                <c:pt idx="66">
                  <c:v>208.9296130854047</c:v>
                </c:pt>
                <c:pt idx="67">
                  <c:v>218.776162394956</c:v>
                </c:pt>
                <c:pt idx="68">
                  <c:v>229.08676527677804</c:v>
                </c:pt>
                <c:pt idx="69">
                  <c:v>239.88329190194978</c:v>
                </c:pt>
                <c:pt idx="70">
                  <c:v>251.18864315095894</c:v>
                </c:pt>
                <c:pt idx="71">
                  <c:v>263.02679918953913</c:v>
                </c:pt>
                <c:pt idx="72">
                  <c:v>275.42287033381757</c:v>
                </c:pt>
                <c:pt idx="73">
                  <c:v>288.40315031266152</c:v>
                </c:pt>
                <c:pt idx="74">
                  <c:v>301.99517204020276</c:v>
                </c:pt>
                <c:pt idx="75">
                  <c:v>316.2277660168391</c:v>
                </c:pt>
                <c:pt idx="76">
                  <c:v>331.13112148259222</c:v>
                </c:pt>
                <c:pt idx="77">
                  <c:v>346.73685045253279</c:v>
                </c:pt>
                <c:pt idx="78">
                  <c:v>363.07805477010277</c:v>
                </c:pt>
                <c:pt idx="79">
                  <c:v>380.18939632056265</c:v>
                </c:pt>
                <c:pt idx="80">
                  <c:v>398.10717055349869</c:v>
                </c:pt>
                <c:pt idx="81">
                  <c:v>416.8693834703372</c:v>
                </c:pt>
                <c:pt idx="82">
                  <c:v>436.51583224016775</c:v>
                </c:pt>
                <c:pt idx="83">
                  <c:v>457.0881896148768</c:v>
                </c:pt>
                <c:pt idx="84">
                  <c:v>478.63009232264011</c:v>
                </c:pt>
                <c:pt idx="85">
                  <c:v>501.18723362727451</c:v>
                </c:pt>
                <c:pt idx="86">
                  <c:v>524.80746024977486</c:v>
                </c:pt>
                <c:pt idx="87">
                  <c:v>549.54087385762671</c:v>
                </c:pt>
                <c:pt idx="88">
                  <c:v>575.43993733715911</c:v>
                </c:pt>
                <c:pt idx="89">
                  <c:v>602.55958607436048</c:v>
                </c:pt>
                <c:pt idx="90">
                  <c:v>630.95734448019596</c:v>
                </c:pt>
                <c:pt idx="91">
                  <c:v>660.6934480075987</c:v>
                </c:pt>
                <c:pt idx="92">
                  <c:v>691.83097091893922</c:v>
                </c:pt>
                <c:pt idx="93">
                  <c:v>724.43596007499343</c:v>
                </c:pt>
                <c:pt idx="94">
                  <c:v>758.57757502918719</c:v>
                </c:pt>
                <c:pt idx="95">
                  <c:v>794.32823472428493</c:v>
                </c:pt>
                <c:pt idx="96">
                  <c:v>831.76377110267515</c:v>
                </c:pt>
                <c:pt idx="97">
                  <c:v>870.96358995608477</c:v>
                </c:pt>
                <c:pt idx="98">
                  <c:v>912.01083935591396</c:v>
                </c:pt>
                <c:pt idx="99">
                  <c:v>954.99258602144016</c:v>
                </c:pt>
                <c:pt idx="100" formatCode="General">
                  <c:v>1000.0000000000051</c:v>
                </c:pt>
                <c:pt idx="101" formatCode="0">
                  <c:v>1047.1285480509046</c:v>
                </c:pt>
                <c:pt idx="102" formatCode="0">
                  <c:v>1096.4781961431902</c:v>
                </c:pt>
                <c:pt idx="103" formatCode="0">
                  <c:v>1148.153621496888</c:v>
                </c:pt>
                <c:pt idx="104" formatCode="0">
                  <c:v>1202.2644346174193</c:v>
                </c:pt>
                <c:pt idx="105" formatCode="0">
                  <c:v>1258.9254117941734</c:v>
                </c:pt>
                <c:pt idx="106" formatCode="0">
                  <c:v>1318.2567385564134</c:v>
                </c:pt>
                <c:pt idx="107" formatCode="0">
                  <c:v>1380.3842646028913</c:v>
                </c:pt>
                <c:pt idx="108" formatCode="0">
                  <c:v>1445.4397707459352</c:v>
                </c:pt>
                <c:pt idx="109" formatCode="0">
                  <c:v>1513.5612484362159</c:v>
                </c:pt>
                <c:pt idx="110" formatCode="0">
                  <c:v>1584.8931924611213</c:v>
                </c:pt>
                <c:pt idx="111" formatCode="0">
                  <c:v>1659.5869074375701</c:v>
                </c:pt>
                <c:pt idx="112" formatCode="0">
                  <c:v>1737.8008287493849</c:v>
                </c:pt>
                <c:pt idx="113" formatCode="0">
                  <c:v>1819.700858609993</c:v>
                </c:pt>
                <c:pt idx="114" formatCode="0">
                  <c:v>1905.4607179632569</c:v>
                </c:pt>
                <c:pt idx="115" formatCode="0">
                  <c:v>1995.2623149688911</c:v>
                </c:pt>
                <c:pt idx="116" formatCode="0">
                  <c:v>2089.2961308540512</c:v>
                </c:pt>
                <c:pt idx="117" formatCode="0">
                  <c:v>2187.7616239495642</c:v>
                </c:pt>
                <c:pt idx="118" formatCode="0">
                  <c:v>2290.8676527677849</c:v>
                </c:pt>
                <c:pt idx="119" formatCode="0">
                  <c:v>2398.8329190195045</c:v>
                </c:pt>
                <c:pt idx="120" formatCode="0">
                  <c:v>2511.8864315095943</c:v>
                </c:pt>
                <c:pt idx="121" formatCode="0">
                  <c:v>2630.2679918953963</c:v>
                </c:pt>
                <c:pt idx="122" formatCode="0">
                  <c:v>2754.2287033381813</c:v>
                </c:pt>
                <c:pt idx="123" formatCode="0">
                  <c:v>2884.0315031266232</c:v>
                </c:pt>
                <c:pt idx="124" formatCode="0">
                  <c:v>3019.951720402034</c:v>
                </c:pt>
                <c:pt idx="125" formatCode="0">
                  <c:v>3162.2776601683972</c:v>
                </c:pt>
                <c:pt idx="126" formatCode="0">
                  <c:v>3311.3112148259288</c:v>
                </c:pt>
                <c:pt idx="127" formatCode="0">
                  <c:v>3467.3685045253346</c:v>
                </c:pt>
                <c:pt idx="128" formatCode="0">
                  <c:v>3630.7805477010384</c:v>
                </c:pt>
                <c:pt idx="129" formatCode="0">
                  <c:v>3801.8939632056372</c:v>
                </c:pt>
                <c:pt idx="130" formatCode="0">
                  <c:v>3981.0717055349983</c:v>
                </c:pt>
                <c:pt idx="131" formatCode="0">
                  <c:v>4168.6938347033802</c:v>
                </c:pt>
                <c:pt idx="132" formatCode="0">
                  <c:v>4365.1583224016858</c:v>
                </c:pt>
                <c:pt idx="133" formatCode="0">
                  <c:v>4570.8818961487768</c:v>
                </c:pt>
                <c:pt idx="134" formatCode="0">
                  <c:v>4786.3009232264103</c:v>
                </c:pt>
                <c:pt idx="135" formatCode="0">
                  <c:v>5011.8723362727505</c:v>
                </c:pt>
                <c:pt idx="136" formatCode="0">
                  <c:v>5248.0746024977634</c:v>
                </c:pt>
                <c:pt idx="137" formatCode="0">
                  <c:v>5495.4087385762832</c:v>
                </c:pt>
                <c:pt idx="138" formatCode="0">
                  <c:v>5754.3993733716079</c:v>
                </c:pt>
                <c:pt idx="139" formatCode="0">
                  <c:v>6025.5958607436169</c:v>
                </c:pt>
                <c:pt idx="140" formatCode="0">
                  <c:v>6309.5734448019721</c:v>
                </c:pt>
                <c:pt idx="141" formatCode="0">
                  <c:v>6606.9344800760009</c:v>
                </c:pt>
                <c:pt idx="142" formatCode="0">
                  <c:v>6918.309709189406</c:v>
                </c:pt>
                <c:pt idx="143" formatCode="0">
                  <c:v>7244.3596007499555</c:v>
                </c:pt>
                <c:pt idx="144" formatCode="0">
                  <c:v>7585.775750291893</c:v>
                </c:pt>
                <c:pt idx="145" formatCode="0">
                  <c:v>7943.2823472428718</c:v>
                </c:pt>
                <c:pt idx="146" formatCode="0">
                  <c:v>8317.6377110267676</c:v>
                </c:pt>
                <c:pt idx="147" formatCode="0">
                  <c:v>8709.6358995608662</c:v>
                </c:pt>
                <c:pt idx="148" formatCode="0">
                  <c:v>9120.1083935591578</c:v>
                </c:pt>
                <c:pt idx="149" formatCode="0">
                  <c:v>9549.92586021442</c:v>
                </c:pt>
                <c:pt idx="150" formatCode="General">
                  <c:v>10000.000000000062</c:v>
                </c:pt>
                <c:pt idx="151" formatCode="0">
                  <c:v>10471.285480509057</c:v>
                </c:pt>
                <c:pt idx="152" formatCode="0">
                  <c:v>10964.781961431914</c:v>
                </c:pt>
                <c:pt idx="153" formatCode="0">
                  <c:v>11481.536214968872</c:v>
                </c:pt>
                <c:pt idx="154" formatCode="0">
                  <c:v>12022.644346174173</c:v>
                </c:pt>
                <c:pt idx="155" formatCode="0">
                  <c:v>12589.254117941693</c:v>
                </c:pt>
                <c:pt idx="156" formatCode="0">
                  <c:v>13182.567385564091</c:v>
                </c:pt>
                <c:pt idx="157" formatCode="0">
                  <c:v>13803.842646028841</c:v>
                </c:pt>
                <c:pt idx="158" formatCode="0">
                  <c:v>14454.397707459266</c:v>
                </c:pt>
                <c:pt idx="159" formatCode="0">
                  <c:v>15135.612484362042</c:v>
                </c:pt>
                <c:pt idx="160" formatCode="0">
                  <c:v>15848.93192461109</c:v>
                </c:pt>
                <c:pt idx="161" formatCode="0">
                  <c:v>16595.869074375558</c:v>
                </c:pt>
                <c:pt idx="162" formatCode="0">
                  <c:v>17378.008287493667</c:v>
                </c:pt>
                <c:pt idx="163" formatCode="0">
                  <c:v>18197.008586099739</c:v>
                </c:pt>
                <c:pt idx="164" formatCode="0">
                  <c:v>19054.607179632338</c:v>
                </c:pt>
                <c:pt idx="165" formatCode="0">
                  <c:v>19952.62314968865</c:v>
                </c:pt>
                <c:pt idx="166" formatCode="0">
                  <c:v>20892.961308540202</c:v>
                </c:pt>
                <c:pt idx="167" formatCode="0">
                  <c:v>21877.616239495317</c:v>
                </c:pt>
                <c:pt idx="168" formatCode="0">
                  <c:v>22908.676527677468</c:v>
                </c:pt>
                <c:pt idx="169" formatCode="0">
                  <c:v>23988.329190194625</c:v>
                </c:pt>
                <c:pt idx="170" formatCode="0">
                  <c:v>25118.864315095503</c:v>
                </c:pt>
                <c:pt idx="171" formatCode="0">
                  <c:v>26302.679918953458</c:v>
                </c:pt>
                <c:pt idx="172" formatCode="0">
                  <c:v>27542.287033381279</c:v>
                </c:pt>
                <c:pt idx="173" formatCode="0">
                  <c:v>28840.3150312656</c:v>
                </c:pt>
                <c:pt idx="174" formatCode="0">
                  <c:v>30199.517204019674</c:v>
                </c:pt>
                <c:pt idx="175" formatCode="0">
                  <c:v>31622.776601683221</c:v>
                </c:pt>
                <c:pt idx="176" formatCode="0">
                  <c:v>33113.1121482585</c:v>
                </c:pt>
                <c:pt idx="177" formatCode="0">
                  <c:v>34673.685045252525</c:v>
                </c:pt>
                <c:pt idx="178" formatCode="0">
                  <c:v>36307.805477009388</c:v>
                </c:pt>
                <c:pt idx="179" formatCode="0">
                  <c:v>38018.939632055335</c:v>
                </c:pt>
                <c:pt idx="180" formatCode="0">
                  <c:v>39810.717055348825</c:v>
                </c:pt>
                <c:pt idx="181" formatCode="0">
                  <c:v>41686.938347032592</c:v>
                </c:pt>
                <c:pt idx="182" formatCode="0">
                  <c:v>43651.583224015514</c:v>
                </c:pt>
                <c:pt idx="183" formatCode="0">
                  <c:v>45708.818961486359</c:v>
                </c:pt>
                <c:pt idx="184" formatCode="0">
                  <c:v>47863.009232262542</c:v>
                </c:pt>
                <c:pt idx="185" formatCode="0">
                  <c:v>50118.723362725868</c:v>
                </c:pt>
                <c:pt idx="186" formatCode="0">
                  <c:v>52480.746024975822</c:v>
                </c:pt>
                <c:pt idx="187" formatCode="0">
                  <c:v>54954.087385760846</c:v>
                </c:pt>
                <c:pt idx="188" formatCode="0">
                  <c:v>57543.993733714</c:v>
                </c:pt>
                <c:pt idx="189" formatCode="0">
                  <c:v>60255.95860743388</c:v>
                </c:pt>
                <c:pt idx="190" formatCode="0">
                  <c:v>63095.734448017327</c:v>
                </c:pt>
                <c:pt idx="191" formatCode="0">
                  <c:v>66069.344800757375</c:v>
                </c:pt>
                <c:pt idx="192" formatCode="0">
                  <c:v>69183.097091891308</c:v>
                </c:pt>
                <c:pt idx="193" formatCode="0">
                  <c:v>72443.59600749641</c:v>
                </c:pt>
                <c:pt idx="194" formatCode="0">
                  <c:v>75857.757502915643</c:v>
                </c:pt>
                <c:pt idx="195" formatCode="0">
                  <c:v>79432.823472425283</c:v>
                </c:pt>
                <c:pt idx="196" formatCode="0">
                  <c:v>83176.377110263929</c:v>
                </c:pt>
                <c:pt idx="197" formatCode="0">
                  <c:v>87096.358995604722</c:v>
                </c:pt>
                <c:pt idx="198" formatCode="0">
                  <c:v>91201.083935587303</c:v>
                </c:pt>
                <c:pt idx="199" formatCode="0">
                  <c:v>95499.258602139729</c:v>
                </c:pt>
                <c:pt idx="200" formatCode="General">
                  <c:v>99999.999999995751</c:v>
                </c:pt>
                <c:pt idx="201" formatCode="0">
                  <c:v>104712.85480508549</c:v>
                </c:pt>
                <c:pt idx="202" formatCode="0">
                  <c:v>109647.81961431362</c:v>
                </c:pt>
                <c:pt idx="203" formatCode="0">
                  <c:v>114815.36214968313</c:v>
                </c:pt>
                <c:pt idx="204" formatCode="0">
                  <c:v>120226.44346173588</c:v>
                </c:pt>
                <c:pt idx="205" formatCode="0">
                  <c:v>125892.54117941081</c:v>
                </c:pt>
                <c:pt idx="206" formatCode="0">
                  <c:v>131825.67385563449</c:v>
                </c:pt>
                <c:pt idx="207" formatCode="0">
                  <c:v>138038.42646028171</c:v>
                </c:pt>
                <c:pt idx="208" formatCode="0">
                  <c:v>144543.97707458562</c:v>
                </c:pt>
                <c:pt idx="209" formatCode="0">
                  <c:v>151356.12484361307</c:v>
                </c:pt>
                <c:pt idx="210" formatCode="0">
                  <c:v>158489.3192461032</c:v>
                </c:pt>
                <c:pt idx="211" formatCode="0">
                  <c:v>165958.6907437472</c:v>
                </c:pt>
                <c:pt idx="212" formatCode="0">
                  <c:v>173780.08287492822</c:v>
                </c:pt>
                <c:pt idx="213" formatCode="0">
                  <c:v>181970.08586098856</c:v>
                </c:pt>
                <c:pt idx="214" formatCode="0">
                  <c:v>190546.07179631409</c:v>
                </c:pt>
                <c:pt idx="215" formatCode="0">
                  <c:v>199526.2314968768</c:v>
                </c:pt>
                <c:pt idx="216" formatCode="0">
                  <c:v>208929.61308539184</c:v>
                </c:pt>
                <c:pt idx="217" formatCode="0">
                  <c:v>218776.16239494254</c:v>
                </c:pt>
                <c:pt idx="218" formatCode="0">
                  <c:v>229086.76527676353</c:v>
                </c:pt>
                <c:pt idx="219" formatCode="0">
                  <c:v>239883.2919019346</c:v>
                </c:pt>
                <c:pt idx="220" formatCode="0">
                  <c:v>251188.64315094237</c:v>
                </c:pt>
                <c:pt idx="221" formatCode="0">
                  <c:v>263026.79918952176</c:v>
                </c:pt>
                <c:pt idx="222" formatCode="0">
                  <c:v>275422.87033379939</c:v>
                </c:pt>
                <c:pt idx="223" formatCode="0">
                  <c:v>288403.15031264198</c:v>
                </c:pt>
                <c:pt idx="224" formatCode="0">
                  <c:v>301995.17204018205</c:v>
                </c:pt>
                <c:pt idx="225" formatCode="0">
                  <c:v>316227.76601681684</c:v>
                </c:pt>
                <c:pt idx="226" formatCode="0">
                  <c:v>331131.12148256891</c:v>
                </c:pt>
                <c:pt idx="227" formatCode="0">
                  <c:v>346736.85045250773</c:v>
                </c:pt>
                <c:pt idx="228" formatCode="0">
                  <c:v>363078.05477007624</c:v>
                </c:pt>
                <c:pt idx="229" formatCode="0">
                  <c:v>380189.39632053417</c:v>
                </c:pt>
                <c:pt idx="230" formatCode="0">
                  <c:v>398107.17055346887</c:v>
                </c:pt>
                <c:pt idx="231" formatCode="0">
                  <c:v>416869.38347030559</c:v>
                </c:pt>
                <c:pt idx="232" formatCode="0">
                  <c:v>436515.8322401339</c:v>
                </c:pt>
                <c:pt idx="233" formatCode="0">
                  <c:v>457088.18961484137</c:v>
                </c:pt>
                <c:pt idx="234" formatCode="0">
                  <c:v>478630.09232260217</c:v>
                </c:pt>
                <c:pt idx="235" formatCode="0">
                  <c:v>501187.23362723429</c:v>
                </c:pt>
                <c:pt idx="236" formatCode="0">
                  <c:v>524807.46024973178</c:v>
                </c:pt>
                <c:pt idx="237" formatCode="0">
                  <c:v>549540.87385758176</c:v>
                </c:pt>
                <c:pt idx="238" formatCode="0">
                  <c:v>575439.93733711203</c:v>
                </c:pt>
                <c:pt idx="239" formatCode="0">
                  <c:v>602559.58607430954</c:v>
                </c:pt>
                <c:pt idx="240" formatCode="0">
                  <c:v>630957.34448014258</c:v>
                </c:pt>
                <c:pt idx="241" formatCode="0">
                  <c:v>660693.44800754171</c:v>
                </c:pt>
                <c:pt idx="242" formatCode="0">
                  <c:v>691830.9709188795</c:v>
                </c:pt>
                <c:pt idx="243" formatCode="0">
                  <c:v>724435.96007492894</c:v>
                </c:pt>
                <c:pt idx="244" formatCode="0">
                  <c:v>758577.57502911962</c:v>
                </c:pt>
                <c:pt idx="245" formatCode="0">
                  <c:v>794328.23472421279</c:v>
                </c:pt>
                <c:pt idx="246" formatCode="0">
                  <c:v>831763.77110259887</c:v>
                </c:pt>
                <c:pt idx="247" formatCode="0">
                  <c:v>870963.58995600487</c:v>
                </c:pt>
                <c:pt idx="248" formatCode="0">
                  <c:v>912010.83935582871</c:v>
                </c:pt>
                <c:pt idx="249" formatCode="0">
                  <c:v>954992.58602135081</c:v>
                </c:pt>
                <c:pt idx="250" formatCode="General">
                  <c:v>999999.99999990896</c:v>
                </c:pt>
              </c:numCache>
            </c:numRef>
          </c:xVal>
          <c:yVal>
            <c:numRef>
              <c:f>'Input and Results'!$P$80:$P$330</c:f>
              <c:numCache>
                <c:formatCode>0.0000</c:formatCode>
                <c:ptCount val="251"/>
                <c:pt idx="0">
                  <c:v>-1.7062645773817438E-2</c:v>
                </c:pt>
                <c:pt idx="1">
                  <c:v>-1.7866867686349167E-2</c:v>
                </c:pt>
                <c:pt idx="2">
                  <c:v>-1.8709003882297081E-2</c:v>
                </c:pt>
                <c:pt idx="3">
                  <c:v>-1.9590843054400359E-2</c:v>
                </c:pt>
                <c:pt idx="4">
                  <c:v>-2.0514258467538096E-2</c:v>
                </c:pt>
                <c:pt idx="5">
                  <c:v>-2.1481211985061571E-2</c:v>
                </c:pt>
                <c:pt idx="6">
                  <c:v>-2.2493758290814247E-2</c:v>
                </c:pt>
                <c:pt idx="7">
                  <c:v>-2.3554049317063171E-2</c:v>
                </c:pt>
                <c:pt idx="8">
                  <c:v>-2.466433888898956E-2</c:v>
                </c:pt>
                <c:pt idx="9">
                  <c:v>-2.582698759717331E-2</c:v>
                </c:pt>
                <c:pt idx="10">
                  <c:v>-2.7044467910109393E-2</c:v>
                </c:pt>
                <c:pt idx="11">
                  <c:v>-2.8319369539640028E-2</c:v>
                </c:pt>
                <c:pt idx="12">
                  <c:v>-2.965440507298828E-2</c:v>
                </c:pt>
                <c:pt idx="13">
                  <c:v>-3.1052415885978058E-2</c:v>
                </c:pt>
                <c:pt idx="14">
                  <c:v>-3.2516378353032498E-2</c:v>
                </c:pt>
                <c:pt idx="15">
                  <c:v>-3.404941037058104E-2</c:v>
                </c:pt>
                <c:pt idx="16">
                  <c:v>-3.5654778211788384E-2</c:v>
                </c:pt>
                <c:pt idx="17">
                  <c:v>-3.7335903731642708E-2</c:v>
                </c:pt>
                <c:pt idx="18">
                  <c:v>-3.9096371943037528E-2</c:v>
                </c:pt>
                <c:pt idx="19">
                  <c:v>-4.0939938985917981E-2</c:v>
                </c:pt>
                <c:pt idx="20">
                  <c:v>-4.2870540513343082E-2</c:v>
                </c:pt>
                <c:pt idx="21">
                  <c:v>-4.4892300520255508E-2</c:v>
                </c:pt>
                <c:pt idx="22">
                  <c:v>-4.7009540642730593E-2</c:v>
                </c:pt>
                <c:pt idx="23">
                  <c:v>-4.9226789957996377E-2</c:v>
                </c:pt>
                <c:pt idx="24">
                  <c:v>-5.1548795317992391E-2</c:v>
                </c:pt>
                <c:pt idx="25">
                  <c:v>-5.3980532252139987E-2</c:v>
                </c:pt>
                <c:pt idx="26">
                  <c:v>-5.6527216478297344E-2</c:v>
                </c:pt>
                <c:pt idx="27">
                  <c:v>-5.9194316064458803E-2</c:v>
                </c:pt>
                <c:pt idx="28">
                  <c:v>-6.1987564287582474E-2</c:v>
                </c:pt>
                <c:pt idx="29">
                  <c:v>-6.4912973241000274E-2</c:v>
                </c:pt>
                <c:pt idx="30">
                  <c:v>-6.7976848246248611E-2</c:v>
                </c:pt>
                <c:pt idx="31">
                  <c:v>-7.1185803131054909E-2</c:v>
                </c:pt>
                <c:pt idx="32">
                  <c:v>-7.4546776442466323E-2</c:v>
                </c:pt>
                <c:pt idx="33">
                  <c:v>-7.8067048669426473E-2</c:v>
                </c:pt>
                <c:pt idx="34">
                  <c:v>-8.1754260559289693E-2</c:v>
                </c:pt>
                <c:pt idx="35">
                  <c:v>-8.5616432620540181E-2</c:v>
                </c:pt>
                <c:pt idx="36">
                  <c:v>-8.9661985914593664E-2</c:v>
                </c:pt>
                <c:pt idx="37">
                  <c:v>-9.3899764251621137E-2</c:v>
                </c:pt>
                <c:pt idx="38">
                  <c:v>-9.8339057917624192E-2</c:v>
                </c:pt>
                <c:pt idx="39">
                  <c:v>-0.10298962907578835</c:v>
                </c:pt>
                <c:pt idx="40">
                  <c:v>-0.10786173900106727</c:v>
                </c:pt>
                <c:pt idx="41">
                  <c:v>-0.11296617732595329</c:v>
                </c:pt>
                <c:pt idx="42">
                  <c:v>-0.11831429349758554</c:v>
                </c:pt>
                <c:pt idx="43">
                  <c:v>-0.12391803066903671</c:v>
                </c:pt>
                <c:pt idx="44">
                  <c:v>-0.1297899622763577</c:v>
                </c:pt>
                <c:pt idx="45">
                  <c:v>-0.13594333158234587</c:v>
                </c:pt>
                <c:pt idx="46">
                  <c:v>-0.14239209450351745</c:v>
                </c:pt>
                <c:pt idx="47">
                  <c:v>-0.14915096607564582</c:v>
                </c:pt>
                <c:pt idx="48">
                  <c:v>-0.15623547095700024</c:v>
                </c:pt>
                <c:pt idx="49">
                  <c:v>-0.16366199841789075</c:v>
                </c:pt>
                <c:pt idx="50">
                  <c:v>-0.17144786232120343</c:v>
                </c:pt>
                <c:pt idx="51">
                  <c:v>-0.17961136665983546</c:v>
                </c:pt>
                <c:pt idx="52">
                  <c:v>-0.18817187728784676</c:v>
                </c:pt>
                <c:pt idx="53">
                  <c:v>-0.19714990055961701</c:v>
                </c:pt>
                <c:pt idx="54">
                  <c:v>-0.20656716967707073</c:v>
                </c:pt>
                <c:pt idx="55">
                  <c:v>-0.21644673964376795</c:v>
                </c:pt>
                <c:pt idx="56">
                  <c:v>-0.22681309182872619</c:v>
                </c:pt>
                <c:pt idx="57">
                  <c:v>-0.23769224926292101</c:v>
                </c:pt>
                <c:pt idx="58">
                  <c:v>-0.24911190391923954</c:v>
                </c:pt>
                <c:pt idx="59">
                  <c:v>-0.26110155736944496</c:v>
                </c:pt>
                <c:pt idx="60">
                  <c:v>-0.27369267636392125</c:v>
                </c:pt>
                <c:pt idx="61">
                  <c:v>-0.28691886504708081</c:v>
                </c:pt>
                <c:pt idx="62">
                  <c:v>-0.30081605569771208</c:v>
                </c:pt>
                <c:pt idx="63">
                  <c:v>-0.31542272007145794</c:v>
                </c:pt>
                <c:pt idx="64">
                  <c:v>-0.33078010361938304</c:v>
                </c:pt>
                <c:pt idx="65">
                  <c:v>-0.34693248505760854</c:v>
                </c:pt>
                <c:pt idx="66">
                  <c:v>-0.36392746396872233</c:v>
                </c:pt>
                <c:pt idx="67">
                  <c:v>-0.38181627931368811</c:v>
                </c:pt>
                <c:pt idx="68">
                  <c:v>-0.40065416192483072</c:v>
                </c:pt>
                <c:pt idx="69">
                  <c:v>-0.42050072421811674</c:v>
                </c:pt>
                <c:pt idx="70">
                  <c:v>-0.44142039050115239</c:v>
                </c:pt>
                <c:pt idx="71">
                  <c:v>-0.46348287134344229</c:v>
                </c:pt>
                <c:pt idx="72">
                  <c:v>-0.48676368550108473</c:v>
                </c:pt>
                <c:pt idx="73">
                  <c:v>-0.51134473282576809</c:v>
                </c:pt>
                <c:pt idx="74">
                  <c:v>-0.53731492141412496</c:v>
                </c:pt>
                <c:pt idx="75">
                  <c:v>-0.56477085193455112</c:v>
                </c:pt>
                <c:pt idx="76">
                  <c:v>-0.59381756157444066</c:v>
                </c:pt>
                <c:pt idx="77">
                  <c:v>-0.62456932933887543</c:v>
                </c:pt>
                <c:pt idx="78">
                  <c:v>-0.65715054346560631</c:v>
                </c:pt>
                <c:pt idx="79">
                  <c:v>-0.69169663045453034</c:v>
                </c:pt>
                <c:pt idx="80">
                  <c:v>-0.7283550436042644</c:v>
                </c:pt>
                <c:pt idx="81">
                  <c:v>-0.76728630696620959</c:v>
                </c:pt>
                <c:pt idx="82">
                  <c:v>-0.80866510823635429</c:v>
                </c:pt>
                <c:pt idx="83">
                  <c:v>-0.85268143129881213</c:v>
                </c:pt>
                <c:pt idx="84">
                  <c:v>-0.89954171591222498</c:v>
                </c:pt>
                <c:pt idx="85">
                  <c:v>-0.94947002843628869</c:v>
                </c:pt>
                <c:pt idx="86">
                  <c:v>-1.0027092236004775</c:v>
                </c:pt>
                <c:pt idx="87">
                  <c:v>-1.0595220732504087</c:v>
                </c:pt>
                <c:pt idx="88">
                  <c:v>-1.1201923339551665</c:v>
                </c:pt>
                <c:pt idx="89">
                  <c:v>-1.1850257215663969</c:v>
                </c:pt>
                <c:pt idx="90">
                  <c:v>-1.2543507576180017</c:v>
                </c:pt>
                <c:pt idx="91">
                  <c:v>-1.3285194502292381</c:v>
                </c:pt>
                <c:pt idx="92">
                  <c:v>-1.4079077713780204</c:v>
                </c:pt>
                <c:pt idx="93">
                  <c:v>-1.4929158935382811</c:v>
                </c:pt>
                <c:pt idx="94">
                  <c:v>-1.5839681522256699</c:v>
                </c:pt>
                <c:pt idx="95">
                  <c:v>-1.6815127074322467</c:v>
                </c:pt>
                <c:pt idx="96">
                  <c:v>-1.7860208866245713</c:v>
                </c:pt>
                <c:pt idx="97">
                  <c:v>-1.8979862051346925</c:v>
                </c:pt>
                <c:pt idx="98">
                  <c:v>-2.0179230763710958</c:v>
                </c:pt>
                <c:pt idx="99">
                  <c:v>-2.1463652439890515</c:v>
                </c:pt>
                <c:pt idx="100">
                  <c:v>-2.2838639903351101</c:v>
                </c:pt>
                <c:pt idx="101">
                  <c:v>-2.4309861990844128</c:v>
                </c:pt>
                <c:pt idx="102">
                  <c:v>-2.5883123736804428</c:v>
                </c:pt>
                <c:pt idx="103">
                  <c:v>-2.7564347353461214</c:v>
                </c:pt>
                <c:pt idx="104">
                  <c:v>-2.9359555433290434</c:v>
                </c:pt>
                <c:pt idx="105">
                  <c:v>-3.127485793989647</c:v>
                </c:pt>
                <c:pt idx="106">
                  <c:v>-3.3316444629111701</c:v>
                </c:pt>
                <c:pt idx="107">
                  <c:v>-3.5490584544428132</c:v>
                </c:pt>
                <c:pt idx="108">
                  <c:v>-3.7803634156911352</c:v>
                </c:pt>
                <c:pt idx="109">
                  <c:v>-4.0262055574037685</c:v>
                </c:pt>
                <c:pt idx="110">
                  <c:v>-4.2872446037510468</c:v>
                </c:pt>
                <c:pt idx="111">
                  <c:v>-4.5641579687304219</c:v>
                </c:pt>
                <c:pt idx="112">
                  <c:v>-4.857646231432005</c:v>
                </c:pt>
                <c:pt idx="113">
                  <c:v>-5.1684399586902821</c:v>
                </c:pt>
                <c:pt idx="114">
                  <c:v>-5.4973079047578874</c:v>
                </c:pt>
                <c:pt idx="115">
                  <c:v>-5.8450666064054184</c:v>
                </c:pt>
                <c:pt idx="116">
                  <c:v>-6.2125913906813057</c:v>
                </c:pt>
                <c:pt idx="117">
                  <c:v>-6.6008288232390111</c:v>
                </c:pt>
                <c:pt idx="118">
                  <c:v>-7.0108106488115363</c:v>
                </c:pt>
                <c:pt idx="119">
                  <c:v>-7.4436693126415987</c:v>
                </c:pt>
                <c:pt idx="120">
                  <c:v>-7.9006552025830397</c:v>
                </c:pt>
                <c:pt idx="121">
                  <c:v>-8.3831558160763553</c:v>
                </c:pt>
                <c:pt idx="122">
                  <c:v>-8.8927171342175093</c:v>
                </c:pt>
                <c:pt idx="123">
                  <c:v>-9.4310675769320493</c:v>
                </c:pt>
                <c:pt idx="124">
                  <c:v>-10.00014501960357</c:v>
                </c:pt>
                <c:pt idx="125">
                  <c:v>-10.602127473890274</c:v>
                </c:pt>
                <c:pt idx="126">
                  <c:v>-11.239468176210604</c:v>
                </c:pt>
                <c:pt idx="127">
                  <c:v>-11.914935989675993</c:v>
                </c:pt>
                <c:pt idx="128">
                  <c:v>-12.631662213027731</c:v>
                </c:pt>
                <c:pt idx="129">
                  <c:v>-13.393195107847488</c:v>
                </c:pt>
                <c:pt idx="130">
                  <c:v>-14.203563707306721</c:v>
                </c:pt>
                <c:pt idx="131">
                  <c:v>-15.067352759325434</c:v>
                </c:pt>
                <c:pt idx="132">
                  <c:v>-15.989790984624129</c:v>
                </c:pt>
                <c:pt idx="133">
                  <c:v>-16.976855190188484</c:v>
                </c:pt>
                <c:pt idx="134">
                  <c:v>-18.035393154154342</c:v>
                </c:pt>
                <c:pt idx="135">
                  <c:v>-19.173268551620261</c:v>
                </c:pt>
                <c:pt idx="136">
                  <c:v>-20.399531449351667</c:v>
                </c:pt>
                <c:pt idx="137">
                  <c:v>-21.724617926964608</c:v>
                </c:pt>
                <c:pt idx="138">
                  <c:v>-23.160581947605511</c:v>
                </c:pt>
                <c:pt idx="139">
                  <c:v>-24.721361300096138</c:v>
                </c:pt>
                <c:pt idx="140">
                  <c:v>-26.423076595846879</c:v>
                </c:pt>
                <c:pt idx="141">
                  <c:v>-28.284356834891931</c:v>
                </c:pt>
                <c:pt idx="142">
                  <c:v>-30.326675227405318</c:v>
                </c:pt>
                <c:pt idx="143">
                  <c:v>-32.574662139403962</c:v>
                </c:pt>
                <c:pt idx="144">
                  <c:v>-35.056334450906192</c:v>
                </c:pt>
                <c:pt idx="145">
                  <c:v>-37.803137386593278</c:v>
                </c:pt>
                <c:pt idx="146">
                  <c:v>-40.849630921477221</c:v>
                </c:pt>
                <c:pt idx="147">
                  <c:v>-44.232566000435789</c:v>
                </c:pt>
                <c:pt idx="148">
                  <c:v>-47.988994325363684</c:v>
                </c:pt>
                <c:pt idx="149">
                  <c:v>-52.152972880336804</c:v>
                </c:pt>
                <c:pt idx="150">
                  <c:v>-56.750441407638327</c:v>
                </c:pt>
                <c:pt idx="151">
                  <c:v>-61.792112372704764</c:v>
                </c:pt>
                <c:pt idx="152">
                  <c:v>-67.264897817966002</c:v>
                </c:pt>
                <c:pt idx="153">
                  <c:v>-73.123573292574022</c:v>
                </c:pt>
                <c:pt idx="154">
                  <c:v>-79.28571118388335</c:v>
                </c:pt>
                <c:pt idx="155">
                  <c:v>-85.633447442513699</c:v>
                </c:pt>
                <c:pt idx="156">
                  <c:v>-92.024188725341162</c:v>
                </c:pt>
                <c:pt idx="157">
                  <c:v>-98.308769462313506</c:v>
                </c:pt>
                <c:pt idx="158">
                  <c:v>-104.35174092376774</c:v>
                </c:pt>
                <c:pt idx="159">
                  <c:v>-110.04727405548925</c:v>
                </c:pt>
                <c:pt idx="160">
                  <c:v>-115.32657963277261</c:v>
                </c:pt>
                <c:pt idx="161">
                  <c:v>-120.15682859763405</c:v>
                </c:pt>
                <c:pt idx="162">
                  <c:v>-124.53448620707469</c:v>
                </c:pt>
                <c:pt idx="163">
                  <c:v>-128.47660516120996</c:v>
                </c:pt>
                <c:pt idx="164">
                  <c:v>-132.01265688607745</c:v>
                </c:pt>
                <c:pt idx="165">
                  <c:v>-135.17812742461646</c:v>
                </c:pt>
                <c:pt idx="166">
                  <c:v>-138.01009604369725</c:v>
                </c:pt>
                <c:pt idx="167">
                  <c:v>-140.5445017594264</c:v>
                </c:pt>
                <c:pt idx="168">
                  <c:v>-142.81465059262101</c:v>
                </c:pt>
                <c:pt idx="169">
                  <c:v>-144.85054863876985</c:v>
                </c:pt>
                <c:pt idx="170">
                  <c:v>-146.67874179425155</c:v>
                </c:pt>
                <c:pt idx="171">
                  <c:v>-148.32244130585011</c:v>
                </c:pt>
                <c:pt idx="172">
                  <c:v>-149.80179305620206</c:v>
                </c:pt>
                <c:pt idx="173">
                  <c:v>-151.13420444128084</c:v>
                </c:pt>
                <c:pt idx="174">
                  <c:v>-152.33467964485325</c:v>
                </c:pt>
                <c:pt idx="175">
                  <c:v>-153.41613728459666</c:v>
                </c:pt>
                <c:pt idx="176">
                  <c:v>-154.38969831777311</c:v>
                </c:pt>
                <c:pt idx="177">
                  <c:v>-155.264940091498</c:v>
                </c:pt>
                <c:pt idx="178">
                  <c:v>-156.05011677583676</c:v>
                </c:pt>
                <c:pt idx="179">
                  <c:v>-156.75234859706057</c:v>
                </c:pt>
                <c:pt idx="180">
                  <c:v>-157.37778321213042</c:v>
                </c:pt>
                <c:pt idx="181">
                  <c:v>-157.93173279313524</c:v>
                </c:pt>
                <c:pt idx="182">
                  <c:v>-158.41879025453525</c:v>
                </c:pt>
                <c:pt idx="183">
                  <c:v>-158.84292774945209</c:v>
                </c:pt>
                <c:pt idx="184">
                  <c:v>-159.20758019232852</c:v>
                </c:pt>
                <c:pt idx="185">
                  <c:v>-159.51571619236915</c:v>
                </c:pt>
                <c:pt idx="186">
                  <c:v>-159.76989843436562</c:v>
                </c:pt>
                <c:pt idx="187">
                  <c:v>-159.97233523334168</c:v>
                </c:pt>
                <c:pt idx="188">
                  <c:v>-160.12492472032804</c:v>
                </c:pt>
                <c:pt idx="189">
                  <c:v>-160.22929288714514</c:v>
                </c:pt>
                <c:pt idx="190">
                  <c:v>-160.28682652474586</c:v>
                </c:pt>
                <c:pt idx="191">
                  <c:v>-160.29870192802164</c:v>
                </c:pt>
                <c:pt idx="192">
                  <c:v>-160.26591010545312</c:v>
                </c:pt>
                <c:pt idx="193">
                  <c:v>-160.18927912034948</c:v>
                </c:pt>
                <c:pt idx="194">
                  <c:v>-160.06949409781228</c:v>
                </c:pt>
                <c:pt idx="195">
                  <c:v>-159.90711535461705</c:v>
                </c:pt>
                <c:pt idx="196">
                  <c:v>-159.70259504502295</c:v>
                </c:pt>
                <c:pt idx="197">
                  <c:v>-159.45629266155154</c:v>
                </c:pt>
                <c:pt idx="198">
                  <c:v>-159.16848968385733</c:v>
                </c:pt>
                <c:pt idx="199">
                  <c:v>-158.83940362905508</c:v>
                </c:pt>
                <c:pt idx="200">
                  <c:v>-158.46920172159429</c:v>
                </c:pt>
                <c:pt idx="201">
                  <c:v>-158.05801436852713</c:v>
                </c:pt>
                <c:pt idx="202">
                  <c:v>-157.60594859549076</c:v>
                </c:pt>
                <c:pt idx="203">
                  <c:v>-157.11310156874788</c:v>
                </c:pt>
                <c:pt idx="204">
                  <c:v>-156.57957429818472</c:v>
                </c:pt>
                <c:pt idx="205">
                  <c:v>-156.00548558434326</c:v>
                </c:pt>
                <c:pt idx="206">
                  <c:v>-155.39098623868981</c:v>
                </c:pt>
                <c:pt idx="207">
                  <c:v>-154.73627356979549</c:v>
                </c:pt>
                <c:pt idx="208">
                  <c:v>-154.04160608873934</c:v>
                </c:pt>
                <c:pt idx="209">
                  <c:v>-153.30731834476686</c:v>
                </c:pt>
                <c:pt idx="210">
                  <c:v>-152.5338357575132</c:v>
                </c:pt>
                <c:pt idx="211">
                  <c:v>-151.72168926565237</c:v>
                </c:pt>
                <c:pt idx="212">
                  <c:v>-150.87152956502021</c:v>
                </c:pt>
                <c:pt idx="213">
                  <c:v>-149.98414066377387</c:v>
                </c:pt>
                <c:pt idx="214">
                  <c:v>-149.06045244037128</c:v>
                </c:pt>
                <c:pt idx="215">
                  <c:v>-148.10155185472965</c:v>
                </c:pt>
                <c:pt idx="216">
                  <c:v>-147.10869243702692</c:v>
                </c:pt>
                <c:pt idx="217">
                  <c:v>-146.08330166544664</c:v>
                </c:pt>
                <c:pt idx="218">
                  <c:v>-145.02698584698672</c:v>
                </c:pt>
                <c:pt idx="219">
                  <c:v>-143.94153213705209</c:v>
                </c:pt>
                <c:pt idx="220">
                  <c:v>-142.82890737606903</c:v>
                </c:pt>
                <c:pt idx="221">
                  <c:v>-141.69125348578191</c:v>
                </c:pt>
                <c:pt idx="222">
                  <c:v>-140.5308792538666</c:v>
                </c:pt>
                <c:pt idx="223">
                  <c:v>-139.35024844090512</c:v>
                </c:pt>
                <c:pt idx="224">
                  <c:v>-138.1519642647944</c:v>
                </c:pt>
                <c:pt idx="225">
                  <c:v>-136.93875044866672</c:v>
                </c:pt>
                <c:pt idx="226">
                  <c:v>-135.71342915238566</c:v>
                </c:pt>
                <c:pt idx="227">
                  <c:v>-134.47889623653086</c:v>
                </c:pt>
                <c:pt idx="228">
                  <c:v>-133.23809442315545</c:v>
                </c:pt>
                <c:pt idx="229">
                  <c:v>-131.99398501147954</c:v>
                </c:pt>
                <c:pt idx="230">
                  <c:v>-130.74951887228045</c:v>
                </c:pt>
                <c:pt idx="231">
                  <c:v>-129.50760747720258</c:v>
                </c:pt>
                <c:pt idx="232">
                  <c:v>-128.27109471599081</c:v>
                </c:pt>
                <c:pt idx="233">
                  <c:v>-127.04273021605734</c:v>
                </c:pt>
                <c:pt idx="234">
                  <c:v>-125.82514480764419</c:v>
                </c:pt>
                <c:pt idx="235">
                  <c:v>-124.62082867937782</c:v>
                </c:pt>
                <c:pt idx="236">
                  <c:v>-123.4321126503138</c:v>
                </c:pt>
                <c:pt idx="237">
                  <c:v>-122.26115285363946</c:v>
                </c:pt>
                <c:pt idx="238">
                  <c:v>-121.1099189924998</c:v>
                </c:pt>
                <c:pt idx="239">
                  <c:v>-119.98018619780771</c:v>
                </c:pt>
                <c:pt idx="240">
                  <c:v>-118.87353039823824</c:v>
                </c:pt>
                <c:pt idx="241">
                  <c:v>-117.79132700918822</c:v>
                </c:pt>
                <c:pt idx="242">
                  <c:v>-116.73475266386174</c:v>
                </c:pt>
                <c:pt idx="243">
                  <c:v>-115.70478964757916</c:v>
                </c:pt>
                <c:pt idx="244">
                  <c:v>-114.7022326560118</c:v>
                </c:pt>
                <c:pt idx="245">
                  <c:v>-113.72769747807929</c:v>
                </c:pt>
                <c:pt idx="246">
                  <c:v>-112.78163120241157</c:v>
                </c:pt>
                <c:pt idx="247">
                  <c:v>-111.86432355962135</c:v>
                </c:pt>
                <c:pt idx="248">
                  <c:v>-110.9759190378745</c:v>
                </c:pt>
                <c:pt idx="249">
                  <c:v>-110.11642944306485</c:v>
                </c:pt>
                <c:pt idx="250">
                  <c:v>-109.28574661420437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35-4211-8C5E-94ED0B56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268616495"/>
        <c:scaling>
          <c:logBase val="10"/>
          <c:orientation val="minMax"/>
          <c:max val="10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Frequency - Hz</a:t>
                </a:r>
              </a:p>
            </c:rich>
          </c:tx>
          <c:layout>
            <c:manualLayout>
              <c:xMode val="edge"/>
              <c:yMode val="edge"/>
              <c:x val="0.38770053475935828"/>
              <c:y val="0.804416403785488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100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Gain - dB</a:t>
                </a:r>
              </a:p>
            </c:rich>
          </c:tx>
          <c:layout>
            <c:manualLayout>
              <c:xMode val="edge"/>
              <c:yMode val="edge"/>
              <c:x val="4.2780748663101602E-2"/>
              <c:y val="0.378548895899053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8616495"/>
        <c:crosses val="autoZero"/>
        <c:crossBetween val="midCat"/>
        <c:majorUnit val="10"/>
        <c:minorUnit val="2"/>
      </c:valAx>
      <c:valAx>
        <c:axId val="3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Phase - °</a:t>
                </a:r>
              </a:p>
            </c:rich>
          </c:tx>
          <c:layout>
            <c:manualLayout>
              <c:xMode val="edge"/>
              <c:yMode val="edge"/>
              <c:x val="0.90106951871657759"/>
              <c:y val="0.378548895899053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midCat"/>
        <c:majorUnit val="4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3155080213903743"/>
          <c:y val="0.90851735015772872"/>
          <c:w val="0.33957219251336901"/>
          <c:h val="6.94006309148265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Error Amp Bode</a:t>
            </a:r>
          </a:p>
        </c:rich>
      </c:tx>
      <c:layout>
        <c:manualLayout>
          <c:xMode val="edge"/>
          <c:yMode val="edge"/>
          <c:x val="0.37378691741202252"/>
          <c:y val="3.47003154574132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34967852804361"/>
          <c:y val="0.18296529968454259"/>
          <c:w val="0.72572901543657964"/>
          <c:h val="0.55205047318611988"/>
        </c:manualLayout>
      </c:layout>
      <c:scatterChart>
        <c:scatterStyle val="smoothMarker"/>
        <c:varyColors val="0"/>
        <c:ser>
          <c:idx val="0"/>
          <c:order val="0"/>
          <c:tx>
            <c:v>Gain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'Input and Results'!$C$80:$C$330</c:f>
              <c:numCache>
                <c:formatCode>0.00</c:formatCode>
                <c:ptCount val="251"/>
                <c:pt idx="0" formatCode="General">
                  <c:v>10</c:v>
                </c:pt>
                <c:pt idx="1">
                  <c:v>10.471285480509</c:v>
                </c:pt>
                <c:pt idx="2">
                  <c:v>10.964781961431854</c:v>
                </c:pt>
                <c:pt idx="3">
                  <c:v>11.481536214968834</c:v>
                </c:pt>
                <c:pt idx="4">
                  <c:v>12.022644346174133</c:v>
                </c:pt>
                <c:pt idx="5">
                  <c:v>12.58925411794168</c:v>
                </c:pt>
                <c:pt idx="6">
                  <c:v>13.182567385564075</c:v>
                </c:pt>
                <c:pt idx="7">
                  <c:v>13.803842646028857</c:v>
                </c:pt>
                <c:pt idx="8">
                  <c:v>14.454397707459282</c:v>
                </c:pt>
                <c:pt idx="9">
                  <c:v>15.135612484362092</c:v>
                </c:pt>
                <c:pt idx="10">
                  <c:v>15.848931924611144</c:v>
                </c:pt>
                <c:pt idx="11">
                  <c:v>16.595869074375621</c:v>
                </c:pt>
                <c:pt idx="12">
                  <c:v>17.378008287493763</c:v>
                </c:pt>
                <c:pt idx="13">
                  <c:v>18.197008586099848</c:v>
                </c:pt>
                <c:pt idx="14">
                  <c:v>19.054607179632484</c:v>
                </c:pt>
                <c:pt idx="15">
                  <c:v>19.952623149688815</c:v>
                </c:pt>
                <c:pt idx="16">
                  <c:v>20.892961308540418</c:v>
                </c:pt>
                <c:pt idx="17">
                  <c:v>21.877616239495548</c:v>
                </c:pt>
                <c:pt idx="18">
                  <c:v>22.908676527677759</c:v>
                </c:pt>
                <c:pt idx="19">
                  <c:v>23.988329190194928</c:v>
                </c:pt>
                <c:pt idx="20">
                  <c:v>25.118864315095834</c:v>
                </c:pt>
                <c:pt idx="21">
                  <c:v>26.302679918953849</c:v>
                </c:pt>
                <c:pt idx="22">
                  <c:v>27.542287033381701</c:v>
                </c:pt>
                <c:pt idx="23">
                  <c:v>28.840315031266094</c:v>
                </c:pt>
                <c:pt idx="24">
                  <c:v>30.199517204020204</c:v>
                </c:pt>
                <c:pt idx="25">
                  <c:v>31.622776601683832</c:v>
                </c:pt>
                <c:pt idx="26">
                  <c:v>33.113112148259155</c:v>
                </c:pt>
                <c:pt idx="27">
                  <c:v>34.673685045253208</c:v>
                </c:pt>
                <c:pt idx="28">
                  <c:v>36.307805477010191</c:v>
                </c:pt>
                <c:pt idx="29">
                  <c:v>38.018939632056167</c:v>
                </c:pt>
                <c:pt idx="30">
                  <c:v>39.810717055349791</c:v>
                </c:pt>
                <c:pt idx="31">
                  <c:v>41.686938347033596</c:v>
                </c:pt>
                <c:pt idx="32">
                  <c:v>43.651583224016669</c:v>
                </c:pt>
                <c:pt idx="33">
                  <c:v>45.708818961487587</c:v>
                </c:pt>
                <c:pt idx="34">
                  <c:v>47.86300923226392</c:v>
                </c:pt>
                <c:pt idx="35">
                  <c:v>50.11872336272733</c:v>
                </c:pt>
                <c:pt idx="36">
                  <c:v>52.48074602497735</c:v>
                </c:pt>
                <c:pt idx="37">
                  <c:v>54.95408738576257</c:v>
                </c:pt>
                <c:pt idx="38">
                  <c:v>57.543993733715801</c:v>
                </c:pt>
                <c:pt idx="39">
                  <c:v>60.255958607435872</c:v>
                </c:pt>
                <c:pt idx="40">
                  <c:v>63.095734448019471</c:v>
                </c:pt>
                <c:pt idx="41">
                  <c:v>66.069344800759737</c:v>
                </c:pt>
                <c:pt idx="42">
                  <c:v>69.183097091893785</c:v>
                </c:pt>
                <c:pt idx="43">
                  <c:v>72.443596007499139</c:v>
                </c:pt>
                <c:pt idx="44">
                  <c:v>75.85775750291856</c:v>
                </c:pt>
                <c:pt idx="45">
                  <c:v>79.432823472428325</c:v>
                </c:pt>
                <c:pt idx="46">
                  <c:v>83.176377110267268</c:v>
                </c:pt>
                <c:pt idx="47">
                  <c:v>87.096358995608313</c:v>
                </c:pt>
                <c:pt idx="48">
                  <c:v>91.201083935591214</c:v>
                </c:pt>
                <c:pt idx="49">
                  <c:v>95.499258602143826</c:v>
                </c:pt>
                <c:pt idx="50">
                  <c:v>100.00000000000023</c:v>
                </c:pt>
                <c:pt idx="51">
                  <c:v>104.71285480509026</c:v>
                </c:pt>
                <c:pt idx="52">
                  <c:v>109.64781961431881</c:v>
                </c:pt>
                <c:pt idx="53">
                  <c:v>114.81536214968857</c:v>
                </c:pt>
                <c:pt idx="54">
                  <c:v>120.22644346174157</c:v>
                </c:pt>
                <c:pt idx="55">
                  <c:v>125.89254117941711</c:v>
                </c:pt>
                <c:pt idx="56">
                  <c:v>131.82567385564107</c:v>
                </c:pt>
                <c:pt idx="57">
                  <c:v>138.03842646028886</c:v>
                </c:pt>
                <c:pt idx="58">
                  <c:v>144.5439770745931</c:v>
                </c:pt>
                <c:pt idx="59">
                  <c:v>151.3561248436213</c:v>
                </c:pt>
                <c:pt idx="60">
                  <c:v>158.48931924611182</c:v>
                </c:pt>
                <c:pt idx="61">
                  <c:v>165.95869074375653</c:v>
                </c:pt>
                <c:pt idx="62">
                  <c:v>173.78008287493799</c:v>
                </c:pt>
                <c:pt idx="63">
                  <c:v>181.97008586099895</c:v>
                </c:pt>
                <c:pt idx="64">
                  <c:v>190.54607179632529</c:v>
                </c:pt>
                <c:pt idx="65">
                  <c:v>199.52623149688853</c:v>
                </c:pt>
                <c:pt idx="66">
                  <c:v>208.9296130854047</c:v>
                </c:pt>
                <c:pt idx="67">
                  <c:v>218.776162394956</c:v>
                </c:pt>
                <c:pt idx="68">
                  <c:v>229.08676527677804</c:v>
                </c:pt>
                <c:pt idx="69">
                  <c:v>239.88329190194978</c:v>
                </c:pt>
                <c:pt idx="70">
                  <c:v>251.18864315095894</c:v>
                </c:pt>
                <c:pt idx="71">
                  <c:v>263.02679918953913</c:v>
                </c:pt>
                <c:pt idx="72">
                  <c:v>275.42287033381757</c:v>
                </c:pt>
                <c:pt idx="73">
                  <c:v>288.40315031266152</c:v>
                </c:pt>
                <c:pt idx="74">
                  <c:v>301.99517204020276</c:v>
                </c:pt>
                <c:pt idx="75">
                  <c:v>316.2277660168391</c:v>
                </c:pt>
                <c:pt idx="76">
                  <c:v>331.13112148259222</c:v>
                </c:pt>
                <c:pt idx="77">
                  <c:v>346.73685045253279</c:v>
                </c:pt>
                <c:pt idx="78">
                  <c:v>363.07805477010277</c:v>
                </c:pt>
                <c:pt idx="79">
                  <c:v>380.18939632056265</c:v>
                </c:pt>
                <c:pt idx="80">
                  <c:v>398.10717055349869</c:v>
                </c:pt>
                <c:pt idx="81">
                  <c:v>416.8693834703372</c:v>
                </c:pt>
                <c:pt idx="82">
                  <c:v>436.51583224016775</c:v>
                </c:pt>
                <c:pt idx="83">
                  <c:v>457.0881896148768</c:v>
                </c:pt>
                <c:pt idx="84">
                  <c:v>478.63009232264011</c:v>
                </c:pt>
                <c:pt idx="85">
                  <c:v>501.18723362727451</c:v>
                </c:pt>
                <c:pt idx="86">
                  <c:v>524.80746024977486</c:v>
                </c:pt>
                <c:pt idx="87">
                  <c:v>549.54087385762671</c:v>
                </c:pt>
                <c:pt idx="88">
                  <c:v>575.43993733715911</c:v>
                </c:pt>
                <c:pt idx="89">
                  <c:v>602.55958607436048</c:v>
                </c:pt>
                <c:pt idx="90">
                  <c:v>630.95734448019596</c:v>
                </c:pt>
                <c:pt idx="91">
                  <c:v>660.6934480075987</c:v>
                </c:pt>
                <c:pt idx="92">
                  <c:v>691.83097091893922</c:v>
                </c:pt>
                <c:pt idx="93">
                  <c:v>724.43596007499343</c:v>
                </c:pt>
                <c:pt idx="94">
                  <c:v>758.57757502918719</c:v>
                </c:pt>
                <c:pt idx="95">
                  <c:v>794.32823472428493</c:v>
                </c:pt>
                <c:pt idx="96">
                  <c:v>831.76377110267515</c:v>
                </c:pt>
                <c:pt idx="97">
                  <c:v>870.96358995608477</c:v>
                </c:pt>
                <c:pt idx="98">
                  <c:v>912.01083935591396</c:v>
                </c:pt>
                <c:pt idx="99">
                  <c:v>954.99258602144016</c:v>
                </c:pt>
                <c:pt idx="100" formatCode="General">
                  <c:v>1000.0000000000051</c:v>
                </c:pt>
                <c:pt idx="101" formatCode="0">
                  <c:v>1047.1285480509046</c:v>
                </c:pt>
                <c:pt idx="102" formatCode="0">
                  <c:v>1096.4781961431902</c:v>
                </c:pt>
                <c:pt idx="103" formatCode="0">
                  <c:v>1148.153621496888</c:v>
                </c:pt>
                <c:pt idx="104" formatCode="0">
                  <c:v>1202.2644346174193</c:v>
                </c:pt>
                <c:pt idx="105" formatCode="0">
                  <c:v>1258.9254117941734</c:v>
                </c:pt>
                <c:pt idx="106" formatCode="0">
                  <c:v>1318.2567385564134</c:v>
                </c:pt>
                <c:pt idx="107" formatCode="0">
                  <c:v>1380.3842646028913</c:v>
                </c:pt>
                <c:pt idx="108" formatCode="0">
                  <c:v>1445.4397707459352</c:v>
                </c:pt>
                <c:pt idx="109" formatCode="0">
                  <c:v>1513.5612484362159</c:v>
                </c:pt>
                <c:pt idx="110" formatCode="0">
                  <c:v>1584.8931924611213</c:v>
                </c:pt>
                <c:pt idx="111" formatCode="0">
                  <c:v>1659.5869074375701</c:v>
                </c:pt>
                <c:pt idx="112" formatCode="0">
                  <c:v>1737.8008287493849</c:v>
                </c:pt>
                <c:pt idx="113" formatCode="0">
                  <c:v>1819.700858609993</c:v>
                </c:pt>
                <c:pt idx="114" formatCode="0">
                  <c:v>1905.4607179632569</c:v>
                </c:pt>
                <c:pt idx="115" formatCode="0">
                  <c:v>1995.2623149688911</c:v>
                </c:pt>
                <c:pt idx="116" formatCode="0">
                  <c:v>2089.2961308540512</c:v>
                </c:pt>
                <c:pt idx="117" formatCode="0">
                  <c:v>2187.7616239495642</c:v>
                </c:pt>
                <c:pt idx="118" formatCode="0">
                  <c:v>2290.8676527677849</c:v>
                </c:pt>
                <c:pt idx="119" formatCode="0">
                  <c:v>2398.8329190195045</c:v>
                </c:pt>
                <c:pt idx="120" formatCode="0">
                  <c:v>2511.8864315095943</c:v>
                </c:pt>
                <c:pt idx="121" formatCode="0">
                  <c:v>2630.2679918953963</c:v>
                </c:pt>
                <c:pt idx="122" formatCode="0">
                  <c:v>2754.2287033381813</c:v>
                </c:pt>
                <c:pt idx="123" formatCode="0">
                  <c:v>2884.0315031266232</c:v>
                </c:pt>
                <c:pt idx="124" formatCode="0">
                  <c:v>3019.951720402034</c:v>
                </c:pt>
                <c:pt idx="125" formatCode="0">
                  <c:v>3162.2776601683972</c:v>
                </c:pt>
                <c:pt idx="126" formatCode="0">
                  <c:v>3311.3112148259288</c:v>
                </c:pt>
                <c:pt idx="127" formatCode="0">
                  <c:v>3467.3685045253346</c:v>
                </c:pt>
                <c:pt idx="128" formatCode="0">
                  <c:v>3630.7805477010384</c:v>
                </c:pt>
                <c:pt idx="129" formatCode="0">
                  <c:v>3801.8939632056372</c:v>
                </c:pt>
                <c:pt idx="130" formatCode="0">
                  <c:v>3981.0717055349983</c:v>
                </c:pt>
                <c:pt idx="131" formatCode="0">
                  <c:v>4168.6938347033802</c:v>
                </c:pt>
                <c:pt idx="132" formatCode="0">
                  <c:v>4365.1583224016858</c:v>
                </c:pt>
                <c:pt idx="133" formatCode="0">
                  <c:v>4570.8818961487768</c:v>
                </c:pt>
                <c:pt idx="134" formatCode="0">
                  <c:v>4786.3009232264103</c:v>
                </c:pt>
                <c:pt idx="135" formatCode="0">
                  <c:v>5011.8723362727505</c:v>
                </c:pt>
                <c:pt idx="136" formatCode="0">
                  <c:v>5248.0746024977634</c:v>
                </c:pt>
                <c:pt idx="137" formatCode="0">
                  <c:v>5495.4087385762832</c:v>
                </c:pt>
                <c:pt idx="138" formatCode="0">
                  <c:v>5754.3993733716079</c:v>
                </c:pt>
                <c:pt idx="139" formatCode="0">
                  <c:v>6025.5958607436169</c:v>
                </c:pt>
                <c:pt idx="140" formatCode="0">
                  <c:v>6309.5734448019721</c:v>
                </c:pt>
                <c:pt idx="141" formatCode="0">
                  <c:v>6606.9344800760009</c:v>
                </c:pt>
                <c:pt idx="142" formatCode="0">
                  <c:v>6918.309709189406</c:v>
                </c:pt>
                <c:pt idx="143" formatCode="0">
                  <c:v>7244.3596007499555</c:v>
                </c:pt>
                <c:pt idx="144" formatCode="0">
                  <c:v>7585.775750291893</c:v>
                </c:pt>
                <c:pt idx="145" formatCode="0">
                  <c:v>7943.2823472428718</c:v>
                </c:pt>
                <c:pt idx="146" formatCode="0">
                  <c:v>8317.6377110267676</c:v>
                </c:pt>
                <c:pt idx="147" formatCode="0">
                  <c:v>8709.6358995608662</c:v>
                </c:pt>
                <c:pt idx="148" formatCode="0">
                  <c:v>9120.1083935591578</c:v>
                </c:pt>
                <c:pt idx="149" formatCode="0">
                  <c:v>9549.92586021442</c:v>
                </c:pt>
                <c:pt idx="150" formatCode="General">
                  <c:v>10000.000000000062</c:v>
                </c:pt>
                <c:pt idx="151" formatCode="0">
                  <c:v>10471.285480509057</c:v>
                </c:pt>
                <c:pt idx="152" formatCode="0">
                  <c:v>10964.781961431914</c:v>
                </c:pt>
                <c:pt idx="153" formatCode="0">
                  <c:v>11481.536214968872</c:v>
                </c:pt>
                <c:pt idx="154" formatCode="0">
                  <c:v>12022.644346174173</c:v>
                </c:pt>
                <c:pt idx="155" formatCode="0">
                  <c:v>12589.254117941693</c:v>
                </c:pt>
                <c:pt idx="156" formatCode="0">
                  <c:v>13182.567385564091</c:v>
                </c:pt>
                <c:pt idx="157" formatCode="0">
                  <c:v>13803.842646028841</c:v>
                </c:pt>
                <c:pt idx="158" formatCode="0">
                  <c:v>14454.397707459266</c:v>
                </c:pt>
                <c:pt idx="159" formatCode="0">
                  <c:v>15135.612484362042</c:v>
                </c:pt>
                <c:pt idx="160" formatCode="0">
                  <c:v>15848.93192461109</c:v>
                </c:pt>
                <c:pt idx="161" formatCode="0">
                  <c:v>16595.869074375558</c:v>
                </c:pt>
                <c:pt idx="162" formatCode="0">
                  <c:v>17378.008287493667</c:v>
                </c:pt>
                <c:pt idx="163" formatCode="0">
                  <c:v>18197.008586099739</c:v>
                </c:pt>
                <c:pt idx="164" formatCode="0">
                  <c:v>19054.607179632338</c:v>
                </c:pt>
                <c:pt idx="165" formatCode="0">
                  <c:v>19952.62314968865</c:v>
                </c:pt>
                <c:pt idx="166" formatCode="0">
                  <c:v>20892.961308540202</c:v>
                </c:pt>
                <c:pt idx="167" formatCode="0">
                  <c:v>21877.616239495317</c:v>
                </c:pt>
                <c:pt idx="168" formatCode="0">
                  <c:v>22908.676527677468</c:v>
                </c:pt>
                <c:pt idx="169" formatCode="0">
                  <c:v>23988.329190194625</c:v>
                </c:pt>
                <c:pt idx="170" formatCode="0">
                  <c:v>25118.864315095503</c:v>
                </c:pt>
                <c:pt idx="171" formatCode="0">
                  <c:v>26302.679918953458</c:v>
                </c:pt>
                <c:pt idx="172" formatCode="0">
                  <c:v>27542.287033381279</c:v>
                </c:pt>
                <c:pt idx="173" formatCode="0">
                  <c:v>28840.3150312656</c:v>
                </c:pt>
                <c:pt idx="174" formatCode="0">
                  <c:v>30199.517204019674</c:v>
                </c:pt>
                <c:pt idx="175" formatCode="0">
                  <c:v>31622.776601683221</c:v>
                </c:pt>
                <c:pt idx="176" formatCode="0">
                  <c:v>33113.1121482585</c:v>
                </c:pt>
                <c:pt idx="177" formatCode="0">
                  <c:v>34673.685045252525</c:v>
                </c:pt>
                <c:pt idx="178" formatCode="0">
                  <c:v>36307.805477009388</c:v>
                </c:pt>
                <c:pt idx="179" formatCode="0">
                  <c:v>38018.939632055335</c:v>
                </c:pt>
                <c:pt idx="180" formatCode="0">
                  <c:v>39810.717055348825</c:v>
                </c:pt>
                <c:pt idx="181" formatCode="0">
                  <c:v>41686.938347032592</c:v>
                </c:pt>
                <c:pt idx="182" formatCode="0">
                  <c:v>43651.583224015514</c:v>
                </c:pt>
                <c:pt idx="183" formatCode="0">
                  <c:v>45708.818961486359</c:v>
                </c:pt>
                <c:pt idx="184" formatCode="0">
                  <c:v>47863.009232262542</c:v>
                </c:pt>
                <c:pt idx="185" formatCode="0">
                  <c:v>50118.723362725868</c:v>
                </c:pt>
                <c:pt idx="186" formatCode="0">
                  <c:v>52480.746024975822</c:v>
                </c:pt>
                <c:pt idx="187" formatCode="0">
                  <c:v>54954.087385760846</c:v>
                </c:pt>
                <c:pt idx="188" formatCode="0">
                  <c:v>57543.993733714</c:v>
                </c:pt>
                <c:pt idx="189" formatCode="0">
                  <c:v>60255.95860743388</c:v>
                </c:pt>
                <c:pt idx="190" formatCode="0">
                  <c:v>63095.734448017327</c:v>
                </c:pt>
                <c:pt idx="191" formatCode="0">
                  <c:v>66069.344800757375</c:v>
                </c:pt>
                <c:pt idx="192" formatCode="0">
                  <c:v>69183.097091891308</c:v>
                </c:pt>
                <c:pt idx="193" formatCode="0">
                  <c:v>72443.59600749641</c:v>
                </c:pt>
                <c:pt idx="194" formatCode="0">
                  <c:v>75857.757502915643</c:v>
                </c:pt>
                <c:pt idx="195" formatCode="0">
                  <c:v>79432.823472425283</c:v>
                </c:pt>
                <c:pt idx="196" formatCode="0">
                  <c:v>83176.377110263929</c:v>
                </c:pt>
                <c:pt idx="197" formatCode="0">
                  <c:v>87096.358995604722</c:v>
                </c:pt>
                <c:pt idx="198" formatCode="0">
                  <c:v>91201.083935587303</c:v>
                </c:pt>
                <c:pt idx="199" formatCode="0">
                  <c:v>95499.258602139729</c:v>
                </c:pt>
                <c:pt idx="200" formatCode="General">
                  <c:v>99999.999999995751</c:v>
                </c:pt>
                <c:pt idx="201" formatCode="0">
                  <c:v>104712.85480508549</c:v>
                </c:pt>
                <c:pt idx="202" formatCode="0">
                  <c:v>109647.81961431362</c:v>
                </c:pt>
                <c:pt idx="203" formatCode="0">
                  <c:v>114815.36214968313</c:v>
                </c:pt>
                <c:pt idx="204" formatCode="0">
                  <c:v>120226.44346173588</c:v>
                </c:pt>
                <c:pt idx="205" formatCode="0">
                  <c:v>125892.54117941081</c:v>
                </c:pt>
                <c:pt idx="206" formatCode="0">
                  <c:v>131825.67385563449</c:v>
                </c:pt>
                <c:pt idx="207" formatCode="0">
                  <c:v>138038.42646028171</c:v>
                </c:pt>
                <c:pt idx="208" formatCode="0">
                  <c:v>144543.97707458562</c:v>
                </c:pt>
                <c:pt idx="209" formatCode="0">
                  <c:v>151356.12484361307</c:v>
                </c:pt>
                <c:pt idx="210" formatCode="0">
                  <c:v>158489.3192461032</c:v>
                </c:pt>
                <c:pt idx="211" formatCode="0">
                  <c:v>165958.6907437472</c:v>
                </c:pt>
                <c:pt idx="212" formatCode="0">
                  <c:v>173780.08287492822</c:v>
                </c:pt>
                <c:pt idx="213" formatCode="0">
                  <c:v>181970.08586098856</c:v>
                </c:pt>
                <c:pt idx="214" formatCode="0">
                  <c:v>190546.07179631409</c:v>
                </c:pt>
                <c:pt idx="215" formatCode="0">
                  <c:v>199526.2314968768</c:v>
                </c:pt>
                <c:pt idx="216" formatCode="0">
                  <c:v>208929.61308539184</c:v>
                </c:pt>
                <c:pt idx="217" formatCode="0">
                  <c:v>218776.16239494254</c:v>
                </c:pt>
                <c:pt idx="218" formatCode="0">
                  <c:v>229086.76527676353</c:v>
                </c:pt>
                <c:pt idx="219" formatCode="0">
                  <c:v>239883.2919019346</c:v>
                </c:pt>
                <c:pt idx="220" formatCode="0">
                  <c:v>251188.64315094237</c:v>
                </c:pt>
                <c:pt idx="221" formatCode="0">
                  <c:v>263026.79918952176</c:v>
                </c:pt>
                <c:pt idx="222" formatCode="0">
                  <c:v>275422.87033379939</c:v>
                </c:pt>
                <c:pt idx="223" formatCode="0">
                  <c:v>288403.15031264198</c:v>
                </c:pt>
                <c:pt idx="224" formatCode="0">
                  <c:v>301995.17204018205</c:v>
                </c:pt>
                <c:pt idx="225" formatCode="0">
                  <c:v>316227.76601681684</c:v>
                </c:pt>
                <c:pt idx="226" formatCode="0">
                  <c:v>331131.12148256891</c:v>
                </c:pt>
                <c:pt idx="227" formatCode="0">
                  <c:v>346736.85045250773</c:v>
                </c:pt>
                <c:pt idx="228" formatCode="0">
                  <c:v>363078.05477007624</c:v>
                </c:pt>
                <c:pt idx="229" formatCode="0">
                  <c:v>380189.39632053417</c:v>
                </c:pt>
                <c:pt idx="230" formatCode="0">
                  <c:v>398107.17055346887</c:v>
                </c:pt>
                <c:pt idx="231" formatCode="0">
                  <c:v>416869.38347030559</c:v>
                </c:pt>
                <c:pt idx="232" formatCode="0">
                  <c:v>436515.8322401339</c:v>
                </c:pt>
                <c:pt idx="233" formatCode="0">
                  <c:v>457088.18961484137</c:v>
                </c:pt>
                <c:pt idx="234" formatCode="0">
                  <c:v>478630.09232260217</c:v>
                </c:pt>
                <c:pt idx="235" formatCode="0">
                  <c:v>501187.23362723429</c:v>
                </c:pt>
                <c:pt idx="236" formatCode="0">
                  <c:v>524807.46024973178</c:v>
                </c:pt>
                <c:pt idx="237" formatCode="0">
                  <c:v>549540.87385758176</c:v>
                </c:pt>
                <c:pt idx="238" formatCode="0">
                  <c:v>575439.93733711203</c:v>
                </c:pt>
                <c:pt idx="239" formatCode="0">
                  <c:v>602559.58607430954</c:v>
                </c:pt>
                <c:pt idx="240" formatCode="0">
                  <c:v>630957.34448014258</c:v>
                </c:pt>
                <c:pt idx="241" formatCode="0">
                  <c:v>660693.44800754171</c:v>
                </c:pt>
                <c:pt idx="242" formatCode="0">
                  <c:v>691830.9709188795</c:v>
                </c:pt>
                <c:pt idx="243" formatCode="0">
                  <c:v>724435.96007492894</c:v>
                </c:pt>
                <c:pt idx="244" formatCode="0">
                  <c:v>758577.57502911962</c:v>
                </c:pt>
                <c:pt idx="245" formatCode="0">
                  <c:v>794328.23472421279</c:v>
                </c:pt>
                <c:pt idx="246" formatCode="0">
                  <c:v>831763.77110259887</c:v>
                </c:pt>
                <c:pt idx="247" formatCode="0">
                  <c:v>870963.58995600487</c:v>
                </c:pt>
                <c:pt idx="248" formatCode="0">
                  <c:v>912010.83935582871</c:v>
                </c:pt>
                <c:pt idx="249" formatCode="0">
                  <c:v>954992.58602135081</c:v>
                </c:pt>
                <c:pt idx="250" formatCode="General">
                  <c:v>999999.99999990896</c:v>
                </c:pt>
              </c:numCache>
            </c:numRef>
          </c:xVal>
          <c:yVal>
            <c:numRef>
              <c:f>'Input and Results'!$U$80:$U$330</c:f>
              <c:numCache>
                <c:formatCode>0.00</c:formatCode>
                <c:ptCount val="251"/>
                <c:pt idx="0">
                  <c:v>41.890896993320666</c:v>
                </c:pt>
                <c:pt idx="1">
                  <c:v>41.873542071406931</c:v>
                </c:pt>
                <c:pt idx="2">
                  <c:v>41.854592158027835</c:v>
                </c:pt>
                <c:pt idx="3">
                  <c:v>41.833908595733924</c:v>
                </c:pt>
                <c:pt idx="4">
                  <c:v>41.811342179401613</c:v>
                </c:pt>
                <c:pt idx="5">
                  <c:v>41.786732637778343</c:v>
                </c:pt>
                <c:pt idx="6">
                  <c:v>41.759908145236849</c:v>
                </c:pt>
                <c:pt idx="7">
                  <c:v>41.730684877304178</c:v>
                </c:pt>
                <c:pt idx="8">
                  <c:v>41.698866625607479</c:v>
                </c:pt>
                <c:pt idx="9">
                  <c:v>41.664244490016998</c:v>
                </c:pt>
                <c:pt idx="10">
                  <c:v>41.626596667894418</c:v>
                </c:pt>
                <c:pt idx="11">
                  <c:v>41.585688362376146</c:v>
                </c:pt>
                <c:pt idx="12">
                  <c:v>41.541271833423963</c:v>
                </c:pt>
                <c:pt idx="13">
                  <c:v>41.49308661681701</c:v>
                </c:pt>
                <c:pt idx="14">
                  <c:v>41.440859937159374</c:v>
                </c:pt>
                <c:pt idx="15">
                  <c:v>41.384307341166</c:v>
                </c:pt>
                <c:pt idx="16">
                  <c:v>41.323133576736062</c:v>
                </c:pt>
                <c:pt idx="17">
                  <c:v>41.257033741426241</c:v>
                </c:pt>
                <c:pt idx="18">
                  <c:v>41.18569472068836</c:v>
                </c:pt>
                <c:pt idx="19">
                  <c:v>41.108796931447422</c:v>
                </c:pt>
                <c:pt idx="20">
                  <c:v>41.026016380142167</c:v>
                </c:pt>
                <c:pt idx="21">
                  <c:v>40.93702703617042</c:v>
                </c:pt>
                <c:pt idx="22">
                  <c:v>40.841503511817621</c:v>
                </c:pt>
                <c:pt idx="23">
                  <c:v>40.739124028375457</c:v>
                </c:pt>
                <c:pt idx="24">
                  <c:v>40.629573635592777</c:v>
                </c:pt>
                <c:pt idx="25">
                  <c:v>40.512547638333018</c:v>
                </c:pt>
                <c:pt idx="26">
                  <c:v>40.387755170960361</c:v>
                </c:pt>
                <c:pt idx="27">
                  <c:v>40.254922847338548</c:v>
                </c:pt>
                <c:pt idx="28">
                  <c:v>40.113798403245497</c:v>
                </c:pt>
                <c:pt idx="29">
                  <c:v>39.964154239408138</c:v>
                </c:pt>
                <c:pt idx="30">
                  <c:v>39.805790768097332</c:v>
                </c:pt>
                <c:pt idx="31">
                  <c:v>39.638539465032004</c:v>
                </c:pt>
                <c:pt idx="32">
                  <c:v>39.462265531736819</c:v>
                </c:pt>
                <c:pt idx="33">
                  <c:v>39.276870081708161</c:v>
                </c:pt>
                <c:pt idx="34">
                  <c:v>39.082291776626271</c:v>
                </c:pt>
                <c:pt idx="35">
                  <c:v>38.878507855919942</c:v>
                </c:pt>
                <c:pt idx="36">
                  <c:v>38.665534523384331</c:v>
                </c:pt>
                <c:pt idx="37">
                  <c:v>38.443426677120229</c:v>
                </c:pt>
                <c:pt idx="38">
                  <c:v>38.212276992472233</c:v>
                </c:pt>
                <c:pt idx="39">
                  <c:v>37.972214390458269</c:v>
                </c:pt>
                <c:pt idx="40">
                  <c:v>37.723401945050099</c:v>
                </c:pt>
                <c:pt idx="41">
                  <c:v>37.466034300377935</c:v>
                </c:pt>
                <c:pt idx="42">
                  <c:v>37.200334682605686</c:v>
                </c:pt>
                <c:pt idx="43">
                  <c:v>36.926551600261305</c:v>
                </c:pt>
                <c:pt idx="44">
                  <c:v>36.644955331041253</c:v>
                </c:pt>
                <c:pt idx="45">
                  <c:v>36.355834292694851</c:v>
                </c:pt>
                <c:pt idx="46">
                  <c:v>36.059491390986551</c:v>
                </c:pt>
                <c:pt idx="47">
                  <c:v>35.756240429668217</c:v>
                </c:pt>
                <c:pt idx="48">
                  <c:v>35.44640265667902</c:v>
                </c:pt>
                <c:pt idx="49">
                  <c:v>35.130303508361315</c:v>
                </c:pt>
                <c:pt idx="50">
                  <c:v>34.808269600199381</c:v>
                </c:pt>
                <c:pt idx="51">
                  <c:v>34.480625999256475</c:v>
                </c:pt>
                <c:pt idx="52">
                  <c:v>34.147693800759377</c:v>
                </c:pt>
                <c:pt idx="53">
                  <c:v>33.809788019678237</c:v>
                </c:pt>
                <c:pt idx="54">
                  <c:v>33.46721579800689</c:v>
                </c:pt>
                <c:pt idx="55">
                  <c:v>33.120274919972722</c:v>
                </c:pt>
                <c:pt idx="56">
                  <c:v>32.769252620653766</c:v>
                </c:pt>
                <c:pt idx="57">
                  <c:v>32.41442466841653</c:v>
                </c:pt>
                <c:pt idx="58">
                  <c:v>32.056054698082889</c:v>
                </c:pt>
                <c:pt idx="59">
                  <c:v>31.694393769626494</c:v>
                </c:pt>
                <c:pt idx="60">
                  <c:v>31.329680126263163</c:v>
                </c:pt>
                <c:pt idx="61">
                  <c:v>30.962139125847123</c:v>
                </c:pt>
                <c:pt idx="62">
                  <c:v>30.591983320282331</c:v>
                </c:pt>
                <c:pt idx="63">
                  <c:v>30.219412659025551</c:v>
                </c:pt>
                <c:pt idx="64">
                  <c:v>29.844614794515874</c:v>
                </c:pt>
                <c:pt idx="65">
                  <c:v>29.467765469370136</c:v>
                </c:pt>
                <c:pt idx="66">
                  <c:v>29.089028967306536</c:v>
                </c:pt>
                <c:pt idx="67">
                  <c:v>28.708558611916331</c:v>
                </c:pt>
                <c:pt idx="68">
                  <c:v>28.326497299503423</c:v>
                </c:pt>
                <c:pt idx="69">
                  <c:v>27.942978054221893</c:v>
                </c:pt>
                <c:pt idx="70">
                  <c:v>27.558124595608628</c:v>
                </c:pt>
                <c:pt idx="71">
                  <c:v>27.172051910320157</c:v>
                </c:pt>
                <c:pt idx="72">
                  <c:v>26.784866821425556</c:v>
                </c:pt>
                <c:pt idx="73">
                  <c:v>26.39666854997866</c:v>
                </c:pt>
                <c:pt idx="74">
                  <c:v>26.007549264799135</c:v>
                </c:pt>
                <c:pt idx="75">
                  <c:v>25.617594617435277</c:v>
                </c:pt>
                <c:pt idx="76">
                  <c:v>25.226884260186839</c:v>
                </c:pt>
                <c:pt idx="77">
                  <c:v>24.835492345825717</c:v>
                </c:pt>
                <c:pt idx="78">
                  <c:v>24.443488008304691</c:v>
                </c:pt>
                <c:pt idx="79">
                  <c:v>24.050935824280607</c:v>
                </c:pt>
                <c:pt idx="80">
                  <c:v>23.657896255729376</c:v>
                </c:pt>
                <c:pt idx="81">
                  <c:v>23.264426074296722</c:v>
                </c:pt>
                <c:pt idx="82">
                  <c:v>22.870578768332315</c:v>
                </c:pt>
                <c:pt idx="83">
                  <c:v>22.476404933795365</c:v>
                </c:pt>
                <c:pt idx="84">
                  <c:v>22.081952650419755</c:v>
                </c:pt>
                <c:pt idx="85">
                  <c:v>21.687267844683099</c:v>
                </c:pt>
                <c:pt idx="86">
                  <c:v>21.29239464125174</c:v>
                </c:pt>
                <c:pt idx="87">
                  <c:v>20.897375704676069</c:v>
                </c:pt>
                <c:pt idx="88">
                  <c:v>20.50225257319244</c:v>
                </c:pt>
                <c:pt idx="89">
                  <c:v>20.107065986559963</c:v>
                </c:pt>
                <c:pt idx="90">
                  <c:v>19.711856209915808</c:v>
                </c:pt>
                <c:pt idx="91">
                  <c:v>19.316663355686387</c:v>
                </c:pt>
                <c:pt idx="92">
                  <c:v>18.921527705638404</c:v>
                </c:pt>
                <c:pt idx="93">
                  <c:v>18.526490035200773</c:v>
                </c:pt>
                <c:pt idx="94">
                  <c:v>18.131591942228521</c:v>
                </c:pt>
                <c:pt idx="95">
                  <c:v>17.7368761824311</c:v>
                </c:pt>
                <c:pt idx="96">
                  <c:v>17.342387013725979</c:v>
                </c:pt>
                <c:pt idx="97">
                  <c:v>16.948170551830312</c:v>
                </c:pt>
                <c:pt idx="98">
                  <c:v>16.554275139447931</c:v>
                </c:pt>
                <c:pt idx="99">
                  <c:v>16.160751731454422</c:v>
                </c:pt>
                <c:pt idx="100">
                  <c:v>15.767654298527102</c:v>
                </c:pt>
                <c:pt idx="101">
                  <c:v>15.375040251706682</c:v>
                </c:pt>
                <c:pt idx="102">
                  <c:v>14.982970890406193</c:v>
                </c:pt>
                <c:pt idx="103">
                  <c:v>14.59151187640577</c:v>
                </c:pt>
                <c:pt idx="104">
                  <c:v>14.20073373637042</c:v>
                </c:pt>
                <c:pt idx="105">
                  <c:v>13.810712395416655</c:v>
                </c:pt>
                <c:pt idx="106">
                  <c:v>13.421529744197381</c:v>
                </c:pt>
                <c:pt idx="107">
                  <c:v>13.033274241897812</c:v>
                </c:pt>
                <c:pt idx="108">
                  <c:v>12.646041557397524</c:v>
                </c:pt>
                <c:pt idx="109">
                  <c:v>12.259935250665936</c:v>
                </c:pt>
                <c:pt idx="110">
                  <c:v>11.875067496194113</c:v>
                </c:pt>
                <c:pt idx="111">
                  <c:v>11.491559849917213</c:v>
                </c:pt>
                <c:pt idx="112">
                  <c:v>11.109544060625257</c:v>
                </c:pt>
                <c:pt idx="113">
                  <c:v>10.729162926282751</c:v>
                </c:pt>
                <c:pt idx="114">
                  <c:v>10.35057119494849</c:v>
                </c:pt>
                <c:pt idx="115">
                  <c:v>9.9739365090942957</c:v>
                </c:pt>
                <c:pt idx="116">
                  <c:v>9.5994403910279225</c:v>
                </c:pt>
                <c:pt idx="117">
                  <c:v>9.2272792658083151</c:v>
                </c:pt>
                <c:pt idx="118">
                  <c:v>8.8576655164777343</c:v>
                </c:pt>
                <c:pt idx="119">
                  <c:v>8.4908285645922774</c:v>
                </c:pt>
                <c:pt idx="120">
                  <c:v>8.1270159668785187</c:v>
                </c:pt>
                <c:pt idx="121">
                  <c:v>7.7664945163811714</c:v>
                </c:pt>
                <c:pt idx="122">
                  <c:v>7.4095513336467853</c:v>
                </c:pt>
                <c:pt idx="123">
                  <c:v>7.0564949303387348</c:v>
                </c:pt>
                <c:pt idx="124">
                  <c:v>6.7076562241843245</c:v>
                </c:pt>
                <c:pt idx="125">
                  <c:v>6.363389480356588</c:v>
                </c:pt>
                <c:pt idx="126">
                  <c:v>6.0240731503377889</c:v>
                </c:pt>
                <c:pt idx="127">
                  <c:v>5.6901105750783962</c:v>
                </c:pt>
                <c:pt idx="128">
                  <c:v>5.3619305149748566</c:v>
                </c:pt>
                <c:pt idx="129">
                  <c:v>5.0399874649972247</c:v>
                </c:pt>
                <c:pt idx="130">
                  <c:v>4.7247617094152092</c:v>
                </c:pt>
                <c:pt idx="131">
                  <c:v>4.4167590672479609</c:v>
                </c:pt>
                <c:pt idx="132">
                  <c:v>4.1165102771173228</c:v>
                </c:pt>
                <c:pt idx="133">
                  <c:v>3.8245699689648376</c:v>
                </c:pt>
                <c:pt idx="134">
                  <c:v>3.5415151705108676</c:v>
                </c:pt>
                <c:pt idx="135">
                  <c:v>3.2679432987959443</c:v>
                </c:pt>
                <c:pt idx="136">
                  <c:v>3.0044695920938036</c:v>
                </c:pt>
                <c:pt idx="137">
                  <c:v>2.751723945306328</c:v>
                </c:pt>
                <c:pt idx="138">
                  <c:v>2.5103471229650549</c:v>
                </c:pt>
                <c:pt idx="139">
                  <c:v>2.2809863383856857</c:v>
                </c:pt>
                <c:pt idx="140">
                  <c:v>2.064290205369061</c:v>
                </c:pt>
                <c:pt idx="141">
                  <c:v>1.8609030899202077</c:v>
                </c:pt>
                <c:pt idx="142">
                  <c:v>1.6714589132969702</c:v>
                </c:pt>
                <c:pt idx="143">
                  <c:v>1.4965744835118191</c:v>
                </c:pt>
                <c:pt idx="144">
                  <c:v>1.3368424590980066</c:v>
                </c:pt>
                <c:pt idx="145">
                  <c:v>1.1928240751093551</c:v>
                </c:pt>
                <c:pt idx="146">
                  <c:v>1.0650417853220586</c:v>
                </c:pt>
                <c:pt idx="147">
                  <c:v>0.95397199464090665</c:v>
                </c:pt>
                <c:pt idx="148">
                  <c:v>0.86003807002408661</c:v>
                </c:pt>
                <c:pt idx="149">
                  <c:v>0.78360382517642491</c:v>
                </c:pt>
                <c:pt idx="150">
                  <c:v>0.72496767254209116</c:v>
                </c:pt>
                <c:pt idx="151">
                  <c:v>0.68435762497125507</c:v>
                </c:pt>
                <c:pt idx="152">
                  <c:v>0.66192730870241034</c:v>
                </c:pt>
                <c:pt idx="153">
                  <c:v>0.65775311956893023</c:v>
                </c:pt>
                <c:pt idx="154">
                  <c:v>0.67183261694369922</c:v>
                </c:pt>
                <c:pt idx="155">
                  <c:v>0.70408420684200956</c:v>
                </c:pt>
                <c:pt idx="156">
                  <c:v>0.75434811929919399</c:v>
                </c:pt>
                <c:pt idx="157">
                  <c:v>0.82238863841022791</c:v>
                </c:pt>
                <c:pt idx="158">
                  <c:v>0.90789749906071415</c:v>
                </c:pt>
                <c:pt idx="159">
                  <c:v>1.0104983249952542</c:v>
                </c:pt>
                <c:pt idx="160">
                  <c:v>1.1297519505946589</c:v>
                </c:pt>
                <c:pt idx="161">
                  <c:v>1.2651624450802632</c:v>
                </c:pt>
                <c:pt idx="162">
                  <c:v>1.4161836436351223</c:v>
                </c:pt>
                <c:pt idx="163">
                  <c:v>1.5822259851675695</c:v>
                </c:pt>
                <c:pt idx="164">
                  <c:v>1.7626634605467242</c:v>
                </c:pt>
                <c:pt idx="165">
                  <c:v>1.9568404869180436</c:v>
                </c:pt>
                <c:pt idx="166">
                  <c:v>2.164078541619705</c:v>
                </c:pt>
                <c:pt idx="167">
                  <c:v>2.3836824114861654</c:v>
                </c:pt>
                <c:pt idx="168">
                  <c:v>2.6149459381355689</c:v>
                </c:pt>
                <c:pt idx="169">
                  <c:v>2.8571571654917811</c:v>
                </c:pt>
                <c:pt idx="170">
                  <c:v>3.1096028207960584</c:v>
                </c:pt>
                <c:pt idx="171">
                  <c:v>3.3715720835277851</c:v>
                </c:pt>
                <c:pt idx="172">
                  <c:v>3.6423596170837795</c:v>
                </c:pt>
                <c:pt idx="173">
                  <c:v>3.9212678552223106</c:v>
                </c:pt>
                <c:pt idx="174">
                  <c:v>4.2076085488759887</c:v>
                </c:pt>
                <c:pt idx="175">
                  <c:v>4.5007035889826232</c:v>
                </c:pt>
                <c:pt idx="176">
                  <c:v>4.7998851276615104</c:v>
                </c:pt>
                <c:pt idx="177">
                  <c:v>5.1044950237398599</c:v>
                </c:pt>
                <c:pt idx="178">
                  <c:v>5.413883639776957</c:v>
                </c:pt>
                <c:pt idx="179">
                  <c:v>5.7274080169172334</c:v>
                </c:pt>
                <c:pt idx="180">
                  <c:v>6.0444294517472343</c:v>
                </c:pt>
                <c:pt idx="181">
                  <c:v>6.3643104965410133</c:v>
                </c:pt>
                <c:pt idx="182">
                  <c:v>6.6864114016006599</c:v>
                </c:pt>
                <c:pt idx="183">
                  <c:v>7.0100860166798356</c:v>
                </c:pt>
                <c:pt idx="184">
                  <c:v>7.3346771686632906</c:v>
                </c:pt>
                <c:pt idx="185">
                  <c:v>7.659511535834902</c:v>
                </c:pt>
                <c:pt idx="186">
                  <c:v>7.9838940464450667</c:v>
                </c:pt>
                <c:pt idx="187">
                  <c:v>8.3071018422911855</c:v>
                </c:pt>
                <c:pt idx="188">
                  <c:v>8.6283778682392391</c:v>
                </c:pt>
                <c:pt idx="189">
                  <c:v>8.9469241777451121</c:v>
                </c:pt>
                <c:pt idx="190">
                  <c:v>9.2618950842064773</c:v>
                </c:pt>
                <c:pt idx="191">
                  <c:v>9.5723903399266277</c:v>
                </c:pt>
                <c:pt idx="192">
                  <c:v>9.8774485896292905</c:v>
                </c:pt>
                <c:pt idx="193">
                  <c:v>10.176041423837855</c:v>
                </c:pt>
                <c:pt idx="194">
                  <c:v>10.46706844737232</c:v>
                </c:pt>
                <c:pt idx="195">
                  <c:v>10.749353875517137</c:v>
                </c:pt>
                <c:pt idx="196">
                  <c:v>11.021645267387047</c:v>
                </c:pt>
                <c:pt idx="197">
                  <c:v>11.282615090550747</c:v>
                </c:pt>
                <c:pt idx="198">
                  <c:v>11.530865865946289</c:v>
                </c:pt>
                <c:pt idx="199">
                  <c:v>11.764939645566709</c:v>
                </c:pt>
                <c:pt idx="200">
                  <c:v>11.983332501977099</c:v>
                </c:pt>
                <c:pt idx="201">
                  <c:v>12.184514533064414</c:v>
                </c:pt>
                <c:pt idx="202">
                  <c:v>12.366955587611507</c:v>
                </c:pt>
                <c:pt idx="203">
                  <c:v>12.529156490416288</c:v>
                </c:pt>
                <c:pt idx="204">
                  <c:v>12.669685004119726</c:v>
                </c:pt>
                <c:pt idx="205">
                  <c:v>12.787215151273383</c:v>
                </c:pt>
                <c:pt idx="206">
                  <c:v>12.880567907581792</c:v>
                </c:pt>
                <c:pt idx="207">
                  <c:v>12.948750763762888</c:v>
                </c:pt>
                <c:pt idx="208">
                  <c:v>12.990993346858449</c:v>
                </c:pt>
                <c:pt idx="209">
                  <c:v>13.006776285897363</c:v>
                </c:pt>
                <c:pt idx="210">
                  <c:v>12.995850854513817</c:v>
                </c:pt>
                <c:pt idx="211">
                  <c:v>12.958247614894162</c:v>
                </c:pt>
                <c:pt idx="212">
                  <c:v>12.894273243572369</c:v>
                </c:pt>
                <c:pt idx="213">
                  <c:v>12.804495801915813</c:v>
                </c:pt>
                <c:pt idx="214">
                  <c:v>12.689719755336153</c:v>
                </c:pt>
                <c:pt idx="215">
                  <c:v>12.550952887584039</c:v>
                </c:pt>
                <c:pt idx="216">
                  <c:v>12.389367787370688</c:v>
                </c:pt>
                <c:pt idx="217">
                  <c:v>12.20626075805416</c:v>
                </c:pt>
                <c:pt idx="218">
                  <c:v>12.003010839946398</c:v>
                </c:pt>
                <c:pt idx="219">
                  <c:v>11.781041214910593</c:v>
                </c:pt>
                <c:pt idx="220">
                  <c:v>11.541784688236845</c:v>
                </c:pt>
                <c:pt idx="221">
                  <c:v>11.28665431889744</c:v>
                </c:pt>
                <c:pt idx="222">
                  <c:v>11.017019683484222</c:v>
                </c:pt>
                <c:pt idx="223">
                  <c:v>10.734188769912931</c:v>
                </c:pt>
                <c:pt idx="224">
                  <c:v>10.439395132657136</c:v>
                </c:pt>
                <c:pt idx="225">
                  <c:v>10.133789704902995</c:v>
                </c:pt>
                <c:pt idx="226">
                  <c:v>9.8184365403970819</c:v>
                </c:pt>
                <c:pt idx="227">
                  <c:v>9.494311725514617</c:v>
                </c:pt>
                <c:pt idx="228">
                  <c:v>9.1623047343350414</c:v>
                </c:pt>
                <c:pt idx="229">
                  <c:v>8.8232215722901675</c:v>
                </c:pt>
                <c:pt idx="230">
                  <c:v>8.4777891475756686</c:v>
                </c:pt>
                <c:pt idx="231">
                  <c:v>8.1266604093528763</c:v>
                </c:pt>
                <c:pt idx="232">
                  <c:v>7.7704198879724036</c:v>
                </c:pt>
                <c:pt idx="233">
                  <c:v>7.4095893591740625</c:v>
                </c:pt>
                <c:pt idx="234">
                  <c:v>7.0446334286268026</c:v>
                </c:pt>
                <c:pt idx="235">
                  <c:v>6.6759648945264018</c:v>
                </c:pt>
                <c:pt idx="236">
                  <c:v>6.3039497948635823</c:v>
                </c:pt>
                <c:pt idx="237">
                  <c:v>5.9289120837094602</c:v>
                </c:pt>
                <c:pt idx="238">
                  <c:v>5.5511379090969708</c:v>
                </c:pt>
                <c:pt idx="239">
                  <c:v>5.1708794854739359</c:v>
                </c:pt>
                <c:pt idx="240">
                  <c:v>4.7883585678599854</c:v>
                </c:pt>
                <c:pt idx="241">
                  <c:v>4.4037695441409506</c:v>
                </c:pt>
                <c:pt idx="242">
                  <c:v>4.0172821675561714</c:v>
                </c:pt>
                <c:pt idx="243">
                  <c:v>3.6290439543353923</c:v>
                </c:pt>
                <c:pt idx="244">
                  <c:v>3.2391822723817554</c:v>
                </c:pt>
                <c:pt idx="245">
                  <c:v>2.8478061464635607</c:v>
                </c:pt>
                <c:pt idx="246">
                  <c:v>2.4550078040178787</c:v>
                </c:pt>
                <c:pt idx="247">
                  <c:v>2.0608639837093099</c:v>
                </c:pt>
                <c:pt idx="248">
                  <c:v>1.6654370265699732</c:v>
                </c:pt>
                <c:pt idx="249">
                  <c:v>1.2687757670298172</c:v>
                </c:pt>
                <c:pt idx="250">
                  <c:v>0.87091623855590528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9D-4CAA-AD7F-ABBD88A0277F}"/>
            </c:ext>
          </c:extLst>
        </c:ser>
        <c:ser>
          <c:idx val="2"/>
          <c:order val="2"/>
          <c:tx>
            <c:strRef>
              <c:f>'Input and Results'!$W$78</c:f>
              <c:strCache>
                <c:ptCount val="1"/>
                <c:pt idx="0">
                  <c:v>GBWP limit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'Input and Results'!$C$80:$C$330</c:f>
              <c:numCache>
                <c:formatCode>0.00</c:formatCode>
                <c:ptCount val="251"/>
                <c:pt idx="0" formatCode="General">
                  <c:v>10</c:v>
                </c:pt>
                <c:pt idx="1">
                  <c:v>10.471285480509</c:v>
                </c:pt>
                <c:pt idx="2">
                  <c:v>10.964781961431854</c:v>
                </c:pt>
                <c:pt idx="3">
                  <c:v>11.481536214968834</c:v>
                </c:pt>
                <c:pt idx="4">
                  <c:v>12.022644346174133</c:v>
                </c:pt>
                <c:pt idx="5">
                  <c:v>12.58925411794168</c:v>
                </c:pt>
                <c:pt idx="6">
                  <c:v>13.182567385564075</c:v>
                </c:pt>
                <c:pt idx="7">
                  <c:v>13.803842646028857</c:v>
                </c:pt>
                <c:pt idx="8">
                  <c:v>14.454397707459282</c:v>
                </c:pt>
                <c:pt idx="9">
                  <c:v>15.135612484362092</c:v>
                </c:pt>
                <c:pt idx="10">
                  <c:v>15.848931924611144</c:v>
                </c:pt>
                <c:pt idx="11">
                  <c:v>16.595869074375621</c:v>
                </c:pt>
                <c:pt idx="12">
                  <c:v>17.378008287493763</c:v>
                </c:pt>
                <c:pt idx="13">
                  <c:v>18.197008586099848</c:v>
                </c:pt>
                <c:pt idx="14">
                  <c:v>19.054607179632484</c:v>
                </c:pt>
                <c:pt idx="15">
                  <c:v>19.952623149688815</c:v>
                </c:pt>
                <c:pt idx="16">
                  <c:v>20.892961308540418</c:v>
                </c:pt>
                <c:pt idx="17">
                  <c:v>21.877616239495548</c:v>
                </c:pt>
                <c:pt idx="18">
                  <c:v>22.908676527677759</c:v>
                </c:pt>
                <c:pt idx="19">
                  <c:v>23.988329190194928</c:v>
                </c:pt>
                <c:pt idx="20">
                  <c:v>25.118864315095834</c:v>
                </c:pt>
                <c:pt idx="21">
                  <c:v>26.302679918953849</c:v>
                </c:pt>
                <c:pt idx="22">
                  <c:v>27.542287033381701</c:v>
                </c:pt>
                <c:pt idx="23">
                  <c:v>28.840315031266094</c:v>
                </c:pt>
                <c:pt idx="24">
                  <c:v>30.199517204020204</c:v>
                </c:pt>
                <c:pt idx="25">
                  <c:v>31.622776601683832</c:v>
                </c:pt>
                <c:pt idx="26">
                  <c:v>33.113112148259155</c:v>
                </c:pt>
                <c:pt idx="27">
                  <c:v>34.673685045253208</c:v>
                </c:pt>
                <c:pt idx="28">
                  <c:v>36.307805477010191</c:v>
                </c:pt>
                <c:pt idx="29">
                  <c:v>38.018939632056167</c:v>
                </c:pt>
                <c:pt idx="30">
                  <c:v>39.810717055349791</c:v>
                </c:pt>
                <c:pt idx="31">
                  <c:v>41.686938347033596</c:v>
                </c:pt>
                <c:pt idx="32">
                  <c:v>43.651583224016669</c:v>
                </c:pt>
                <c:pt idx="33">
                  <c:v>45.708818961487587</c:v>
                </c:pt>
                <c:pt idx="34">
                  <c:v>47.86300923226392</c:v>
                </c:pt>
                <c:pt idx="35">
                  <c:v>50.11872336272733</c:v>
                </c:pt>
                <c:pt idx="36">
                  <c:v>52.48074602497735</c:v>
                </c:pt>
                <c:pt idx="37">
                  <c:v>54.95408738576257</c:v>
                </c:pt>
                <c:pt idx="38">
                  <c:v>57.543993733715801</c:v>
                </c:pt>
                <c:pt idx="39">
                  <c:v>60.255958607435872</c:v>
                </c:pt>
                <c:pt idx="40">
                  <c:v>63.095734448019471</c:v>
                </c:pt>
                <c:pt idx="41">
                  <c:v>66.069344800759737</c:v>
                </c:pt>
                <c:pt idx="42">
                  <c:v>69.183097091893785</c:v>
                </c:pt>
                <c:pt idx="43">
                  <c:v>72.443596007499139</c:v>
                </c:pt>
                <c:pt idx="44">
                  <c:v>75.85775750291856</c:v>
                </c:pt>
                <c:pt idx="45">
                  <c:v>79.432823472428325</c:v>
                </c:pt>
                <c:pt idx="46">
                  <c:v>83.176377110267268</c:v>
                </c:pt>
                <c:pt idx="47">
                  <c:v>87.096358995608313</c:v>
                </c:pt>
                <c:pt idx="48">
                  <c:v>91.201083935591214</c:v>
                </c:pt>
                <c:pt idx="49">
                  <c:v>95.499258602143826</c:v>
                </c:pt>
                <c:pt idx="50">
                  <c:v>100.00000000000023</c:v>
                </c:pt>
                <c:pt idx="51">
                  <c:v>104.71285480509026</c:v>
                </c:pt>
                <c:pt idx="52">
                  <c:v>109.64781961431881</c:v>
                </c:pt>
                <c:pt idx="53">
                  <c:v>114.81536214968857</c:v>
                </c:pt>
                <c:pt idx="54">
                  <c:v>120.22644346174157</c:v>
                </c:pt>
                <c:pt idx="55">
                  <c:v>125.89254117941711</c:v>
                </c:pt>
                <c:pt idx="56">
                  <c:v>131.82567385564107</c:v>
                </c:pt>
                <c:pt idx="57">
                  <c:v>138.03842646028886</c:v>
                </c:pt>
                <c:pt idx="58">
                  <c:v>144.5439770745931</c:v>
                </c:pt>
                <c:pt idx="59">
                  <c:v>151.3561248436213</c:v>
                </c:pt>
                <c:pt idx="60">
                  <c:v>158.48931924611182</c:v>
                </c:pt>
                <c:pt idx="61">
                  <c:v>165.95869074375653</c:v>
                </c:pt>
                <c:pt idx="62">
                  <c:v>173.78008287493799</c:v>
                </c:pt>
                <c:pt idx="63">
                  <c:v>181.97008586099895</c:v>
                </c:pt>
                <c:pt idx="64">
                  <c:v>190.54607179632529</c:v>
                </c:pt>
                <c:pt idx="65">
                  <c:v>199.52623149688853</c:v>
                </c:pt>
                <c:pt idx="66">
                  <c:v>208.9296130854047</c:v>
                </c:pt>
                <c:pt idx="67">
                  <c:v>218.776162394956</c:v>
                </c:pt>
                <c:pt idx="68">
                  <c:v>229.08676527677804</c:v>
                </c:pt>
                <c:pt idx="69">
                  <c:v>239.88329190194978</c:v>
                </c:pt>
                <c:pt idx="70">
                  <c:v>251.18864315095894</c:v>
                </c:pt>
                <c:pt idx="71">
                  <c:v>263.02679918953913</c:v>
                </c:pt>
                <c:pt idx="72">
                  <c:v>275.42287033381757</c:v>
                </c:pt>
                <c:pt idx="73">
                  <c:v>288.40315031266152</c:v>
                </c:pt>
                <c:pt idx="74">
                  <c:v>301.99517204020276</c:v>
                </c:pt>
                <c:pt idx="75">
                  <c:v>316.2277660168391</c:v>
                </c:pt>
                <c:pt idx="76">
                  <c:v>331.13112148259222</c:v>
                </c:pt>
                <c:pt idx="77">
                  <c:v>346.73685045253279</c:v>
                </c:pt>
                <c:pt idx="78">
                  <c:v>363.07805477010277</c:v>
                </c:pt>
                <c:pt idx="79">
                  <c:v>380.18939632056265</c:v>
                </c:pt>
                <c:pt idx="80">
                  <c:v>398.10717055349869</c:v>
                </c:pt>
                <c:pt idx="81">
                  <c:v>416.8693834703372</c:v>
                </c:pt>
                <c:pt idx="82">
                  <c:v>436.51583224016775</c:v>
                </c:pt>
                <c:pt idx="83">
                  <c:v>457.0881896148768</c:v>
                </c:pt>
                <c:pt idx="84">
                  <c:v>478.63009232264011</c:v>
                </c:pt>
                <c:pt idx="85">
                  <c:v>501.18723362727451</c:v>
                </c:pt>
                <c:pt idx="86">
                  <c:v>524.80746024977486</c:v>
                </c:pt>
                <c:pt idx="87">
                  <c:v>549.54087385762671</c:v>
                </c:pt>
                <c:pt idx="88">
                  <c:v>575.43993733715911</c:v>
                </c:pt>
                <c:pt idx="89">
                  <c:v>602.55958607436048</c:v>
                </c:pt>
                <c:pt idx="90">
                  <c:v>630.95734448019596</c:v>
                </c:pt>
                <c:pt idx="91">
                  <c:v>660.6934480075987</c:v>
                </c:pt>
                <c:pt idx="92">
                  <c:v>691.83097091893922</c:v>
                </c:pt>
                <c:pt idx="93">
                  <c:v>724.43596007499343</c:v>
                </c:pt>
                <c:pt idx="94">
                  <c:v>758.57757502918719</c:v>
                </c:pt>
                <c:pt idx="95">
                  <c:v>794.32823472428493</c:v>
                </c:pt>
                <c:pt idx="96">
                  <c:v>831.76377110267515</c:v>
                </c:pt>
                <c:pt idx="97">
                  <c:v>870.96358995608477</c:v>
                </c:pt>
                <c:pt idx="98">
                  <c:v>912.01083935591396</c:v>
                </c:pt>
                <c:pt idx="99">
                  <c:v>954.99258602144016</c:v>
                </c:pt>
                <c:pt idx="100" formatCode="General">
                  <c:v>1000.0000000000051</c:v>
                </c:pt>
                <c:pt idx="101" formatCode="0">
                  <c:v>1047.1285480509046</c:v>
                </c:pt>
                <c:pt idx="102" formatCode="0">
                  <c:v>1096.4781961431902</c:v>
                </c:pt>
                <c:pt idx="103" formatCode="0">
                  <c:v>1148.153621496888</c:v>
                </c:pt>
                <c:pt idx="104" formatCode="0">
                  <c:v>1202.2644346174193</c:v>
                </c:pt>
                <c:pt idx="105" formatCode="0">
                  <c:v>1258.9254117941734</c:v>
                </c:pt>
                <c:pt idx="106" formatCode="0">
                  <c:v>1318.2567385564134</c:v>
                </c:pt>
                <c:pt idx="107" formatCode="0">
                  <c:v>1380.3842646028913</c:v>
                </c:pt>
                <c:pt idx="108" formatCode="0">
                  <c:v>1445.4397707459352</c:v>
                </c:pt>
                <c:pt idx="109" formatCode="0">
                  <c:v>1513.5612484362159</c:v>
                </c:pt>
                <c:pt idx="110" formatCode="0">
                  <c:v>1584.8931924611213</c:v>
                </c:pt>
                <c:pt idx="111" formatCode="0">
                  <c:v>1659.5869074375701</c:v>
                </c:pt>
                <c:pt idx="112" formatCode="0">
                  <c:v>1737.8008287493849</c:v>
                </c:pt>
                <c:pt idx="113" formatCode="0">
                  <c:v>1819.700858609993</c:v>
                </c:pt>
                <c:pt idx="114" formatCode="0">
                  <c:v>1905.4607179632569</c:v>
                </c:pt>
                <c:pt idx="115" formatCode="0">
                  <c:v>1995.2623149688911</c:v>
                </c:pt>
                <c:pt idx="116" formatCode="0">
                  <c:v>2089.2961308540512</c:v>
                </c:pt>
                <c:pt idx="117" formatCode="0">
                  <c:v>2187.7616239495642</c:v>
                </c:pt>
                <c:pt idx="118" formatCode="0">
                  <c:v>2290.8676527677849</c:v>
                </c:pt>
                <c:pt idx="119" formatCode="0">
                  <c:v>2398.8329190195045</c:v>
                </c:pt>
                <c:pt idx="120" formatCode="0">
                  <c:v>2511.8864315095943</c:v>
                </c:pt>
                <c:pt idx="121" formatCode="0">
                  <c:v>2630.2679918953963</c:v>
                </c:pt>
                <c:pt idx="122" formatCode="0">
                  <c:v>2754.2287033381813</c:v>
                </c:pt>
                <c:pt idx="123" formatCode="0">
                  <c:v>2884.0315031266232</c:v>
                </c:pt>
                <c:pt idx="124" formatCode="0">
                  <c:v>3019.951720402034</c:v>
                </c:pt>
                <c:pt idx="125" formatCode="0">
                  <c:v>3162.2776601683972</c:v>
                </c:pt>
                <c:pt idx="126" formatCode="0">
                  <c:v>3311.3112148259288</c:v>
                </c:pt>
                <c:pt idx="127" formatCode="0">
                  <c:v>3467.3685045253346</c:v>
                </c:pt>
                <c:pt idx="128" formatCode="0">
                  <c:v>3630.7805477010384</c:v>
                </c:pt>
                <c:pt idx="129" formatCode="0">
                  <c:v>3801.8939632056372</c:v>
                </c:pt>
                <c:pt idx="130" formatCode="0">
                  <c:v>3981.0717055349983</c:v>
                </c:pt>
                <c:pt idx="131" formatCode="0">
                  <c:v>4168.6938347033802</c:v>
                </c:pt>
                <c:pt idx="132" formatCode="0">
                  <c:v>4365.1583224016858</c:v>
                </c:pt>
                <c:pt idx="133" formatCode="0">
                  <c:v>4570.8818961487768</c:v>
                </c:pt>
                <c:pt idx="134" formatCode="0">
                  <c:v>4786.3009232264103</c:v>
                </c:pt>
                <c:pt idx="135" formatCode="0">
                  <c:v>5011.8723362727505</c:v>
                </c:pt>
                <c:pt idx="136" formatCode="0">
                  <c:v>5248.0746024977634</c:v>
                </c:pt>
                <c:pt idx="137" formatCode="0">
                  <c:v>5495.4087385762832</c:v>
                </c:pt>
                <c:pt idx="138" formatCode="0">
                  <c:v>5754.3993733716079</c:v>
                </c:pt>
                <c:pt idx="139" formatCode="0">
                  <c:v>6025.5958607436169</c:v>
                </c:pt>
                <c:pt idx="140" formatCode="0">
                  <c:v>6309.5734448019721</c:v>
                </c:pt>
                <c:pt idx="141" formatCode="0">
                  <c:v>6606.9344800760009</c:v>
                </c:pt>
                <c:pt idx="142" formatCode="0">
                  <c:v>6918.309709189406</c:v>
                </c:pt>
                <c:pt idx="143" formatCode="0">
                  <c:v>7244.3596007499555</c:v>
                </c:pt>
                <c:pt idx="144" formatCode="0">
                  <c:v>7585.775750291893</c:v>
                </c:pt>
                <c:pt idx="145" formatCode="0">
                  <c:v>7943.2823472428718</c:v>
                </c:pt>
                <c:pt idx="146" formatCode="0">
                  <c:v>8317.6377110267676</c:v>
                </c:pt>
                <c:pt idx="147" formatCode="0">
                  <c:v>8709.6358995608662</c:v>
                </c:pt>
                <c:pt idx="148" formatCode="0">
                  <c:v>9120.1083935591578</c:v>
                </c:pt>
                <c:pt idx="149" formatCode="0">
                  <c:v>9549.92586021442</c:v>
                </c:pt>
                <c:pt idx="150" formatCode="General">
                  <c:v>10000.000000000062</c:v>
                </c:pt>
                <c:pt idx="151" formatCode="0">
                  <c:v>10471.285480509057</c:v>
                </c:pt>
                <c:pt idx="152" formatCode="0">
                  <c:v>10964.781961431914</c:v>
                </c:pt>
                <c:pt idx="153" formatCode="0">
                  <c:v>11481.536214968872</c:v>
                </c:pt>
                <c:pt idx="154" formatCode="0">
                  <c:v>12022.644346174173</c:v>
                </c:pt>
                <c:pt idx="155" formatCode="0">
                  <c:v>12589.254117941693</c:v>
                </c:pt>
                <c:pt idx="156" formatCode="0">
                  <c:v>13182.567385564091</c:v>
                </c:pt>
                <c:pt idx="157" formatCode="0">
                  <c:v>13803.842646028841</c:v>
                </c:pt>
                <c:pt idx="158" formatCode="0">
                  <c:v>14454.397707459266</c:v>
                </c:pt>
                <c:pt idx="159" formatCode="0">
                  <c:v>15135.612484362042</c:v>
                </c:pt>
                <c:pt idx="160" formatCode="0">
                  <c:v>15848.93192461109</c:v>
                </c:pt>
                <c:pt idx="161" formatCode="0">
                  <c:v>16595.869074375558</c:v>
                </c:pt>
                <c:pt idx="162" formatCode="0">
                  <c:v>17378.008287493667</c:v>
                </c:pt>
                <c:pt idx="163" formatCode="0">
                  <c:v>18197.008586099739</c:v>
                </c:pt>
                <c:pt idx="164" formatCode="0">
                  <c:v>19054.607179632338</c:v>
                </c:pt>
                <c:pt idx="165" formatCode="0">
                  <c:v>19952.62314968865</c:v>
                </c:pt>
                <c:pt idx="166" formatCode="0">
                  <c:v>20892.961308540202</c:v>
                </c:pt>
                <c:pt idx="167" formatCode="0">
                  <c:v>21877.616239495317</c:v>
                </c:pt>
                <c:pt idx="168" formatCode="0">
                  <c:v>22908.676527677468</c:v>
                </c:pt>
                <c:pt idx="169" formatCode="0">
                  <c:v>23988.329190194625</c:v>
                </c:pt>
                <c:pt idx="170" formatCode="0">
                  <c:v>25118.864315095503</c:v>
                </c:pt>
                <c:pt idx="171" formatCode="0">
                  <c:v>26302.679918953458</c:v>
                </c:pt>
                <c:pt idx="172" formatCode="0">
                  <c:v>27542.287033381279</c:v>
                </c:pt>
                <c:pt idx="173" formatCode="0">
                  <c:v>28840.3150312656</c:v>
                </c:pt>
                <c:pt idx="174" formatCode="0">
                  <c:v>30199.517204019674</c:v>
                </c:pt>
                <c:pt idx="175" formatCode="0">
                  <c:v>31622.776601683221</c:v>
                </c:pt>
                <c:pt idx="176" formatCode="0">
                  <c:v>33113.1121482585</c:v>
                </c:pt>
                <c:pt idx="177" formatCode="0">
                  <c:v>34673.685045252525</c:v>
                </c:pt>
                <c:pt idx="178" formatCode="0">
                  <c:v>36307.805477009388</c:v>
                </c:pt>
                <c:pt idx="179" formatCode="0">
                  <c:v>38018.939632055335</c:v>
                </c:pt>
                <c:pt idx="180" formatCode="0">
                  <c:v>39810.717055348825</c:v>
                </c:pt>
                <c:pt idx="181" formatCode="0">
                  <c:v>41686.938347032592</c:v>
                </c:pt>
                <c:pt idx="182" formatCode="0">
                  <c:v>43651.583224015514</c:v>
                </c:pt>
                <c:pt idx="183" formatCode="0">
                  <c:v>45708.818961486359</c:v>
                </c:pt>
                <c:pt idx="184" formatCode="0">
                  <c:v>47863.009232262542</c:v>
                </c:pt>
                <c:pt idx="185" formatCode="0">
                  <c:v>50118.723362725868</c:v>
                </c:pt>
                <c:pt idx="186" formatCode="0">
                  <c:v>52480.746024975822</c:v>
                </c:pt>
                <c:pt idx="187" formatCode="0">
                  <c:v>54954.087385760846</c:v>
                </c:pt>
                <c:pt idx="188" formatCode="0">
                  <c:v>57543.993733714</c:v>
                </c:pt>
                <c:pt idx="189" formatCode="0">
                  <c:v>60255.95860743388</c:v>
                </c:pt>
                <c:pt idx="190" formatCode="0">
                  <c:v>63095.734448017327</c:v>
                </c:pt>
                <c:pt idx="191" formatCode="0">
                  <c:v>66069.344800757375</c:v>
                </c:pt>
                <c:pt idx="192" formatCode="0">
                  <c:v>69183.097091891308</c:v>
                </c:pt>
                <c:pt idx="193" formatCode="0">
                  <c:v>72443.59600749641</c:v>
                </c:pt>
                <c:pt idx="194" formatCode="0">
                  <c:v>75857.757502915643</c:v>
                </c:pt>
                <c:pt idx="195" formatCode="0">
                  <c:v>79432.823472425283</c:v>
                </c:pt>
                <c:pt idx="196" formatCode="0">
                  <c:v>83176.377110263929</c:v>
                </c:pt>
                <c:pt idx="197" formatCode="0">
                  <c:v>87096.358995604722</c:v>
                </c:pt>
                <c:pt idx="198" formatCode="0">
                  <c:v>91201.083935587303</c:v>
                </c:pt>
                <c:pt idx="199" formatCode="0">
                  <c:v>95499.258602139729</c:v>
                </c:pt>
                <c:pt idx="200" formatCode="General">
                  <c:v>99999.999999995751</c:v>
                </c:pt>
                <c:pt idx="201" formatCode="0">
                  <c:v>104712.85480508549</c:v>
                </c:pt>
                <c:pt idx="202" formatCode="0">
                  <c:v>109647.81961431362</c:v>
                </c:pt>
                <c:pt idx="203" formatCode="0">
                  <c:v>114815.36214968313</c:v>
                </c:pt>
                <c:pt idx="204" formatCode="0">
                  <c:v>120226.44346173588</c:v>
                </c:pt>
                <c:pt idx="205" formatCode="0">
                  <c:v>125892.54117941081</c:v>
                </c:pt>
                <c:pt idx="206" formatCode="0">
                  <c:v>131825.67385563449</c:v>
                </c:pt>
                <c:pt idx="207" formatCode="0">
                  <c:v>138038.42646028171</c:v>
                </c:pt>
                <c:pt idx="208" formatCode="0">
                  <c:v>144543.97707458562</c:v>
                </c:pt>
                <c:pt idx="209" formatCode="0">
                  <c:v>151356.12484361307</c:v>
                </c:pt>
                <c:pt idx="210" formatCode="0">
                  <c:v>158489.3192461032</c:v>
                </c:pt>
                <c:pt idx="211" formatCode="0">
                  <c:v>165958.6907437472</c:v>
                </c:pt>
                <c:pt idx="212" formatCode="0">
                  <c:v>173780.08287492822</c:v>
                </c:pt>
                <c:pt idx="213" formatCode="0">
                  <c:v>181970.08586098856</c:v>
                </c:pt>
                <c:pt idx="214" formatCode="0">
                  <c:v>190546.07179631409</c:v>
                </c:pt>
                <c:pt idx="215" formatCode="0">
                  <c:v>199526.2314968768</c:v>
                </c:pt>
                <c:pt idx="216" formatCode="0">
                  <c:v>208929.61308539184</c:v>
                </c:pt>
                <c:pt idx="217" formatCode="0">
                  <c:v>218776.16239494254</c:v>
                </c:pt>
                <c:pt idx="218" formatCode="0">
                  <c:v>229086.76527676353</c:v>
                </c:pt>
                <c:pt idx="219" formatCode="0">
                  <c:v>239883.2919019346</c:v>
                </c:pt>
                <c:pt idx="220" formatCode="0">
                  <c:v>251188.64315094237</c:v>
                </c:pt>
                <c:pt idx="221" formatCode="0">
                  <c:v>263026.79918952176</c:v>
                </c:pt>
                <c:pt idx="222" formatCode="0">
                  <c:v>275422.87033379939</c:v>
                </c:pt>
                <c:pt idx="223" formatCode="0">
                  <c:v>288403.15031264198</c:v>
                </c:pt>
                <c:pt idx="224" formatCode="0">
                  <c:v>301995.17204018205</c:v>
                </c:pt>
                <c:pt idx="225" formatCode="0">
                  <c:v>316227.76601681684</c:v>
                </c:pt>
                <c:pt idx="226" formatCode="0">
                  <c:v>331131.12148256891</c:v>
                </c:pt>
                <c:pt idx="227" formatCode="0">
                  <c:v>346736.85045250773</c:v>
                </c:pt>
                <c:pt idx="228" formatCode="0">
                  <c:v>363078.05477007624</c:v>
                </c:pt>
                <c:pt idx="229" formatCode="0">
                  <c:v>380189.39632053417</c:v>
                </c:pt>
                <c:pt idx="230" formatCode="0">
                  <c:v>398107.17055346887</c:v>
                </c:pt>
                <c:pt idx="231" formatCode="0">
                  <c:v>416869.38347030559</c:v>
                </c:pt>
                <c:pt idx="232" formatCode="0">
                  <c:v>436515.8322401339</c:v>
                </c:pt>
                <c:pt idx="233" formatCode="0">
                  <c:v>457088.18961484137</c:v>
                </c:pt>
                <c:pt idx="234" formatCode="0">
                  <c:v>478630.09232260217</c:v>
                </c:pt>
                <c:pt idx="235" formatCode="0">
                  <c:v>501187.23362723429</c:v>
                </c:pt>
                <c:pt idx="236" formatCode="0">
                  <c:v>524807.46024973178</c:v>
                </c:pt>
                <c:pt idx="237" formatCode="0">
                  <c:v>549540.87385758176</c:v>
                </c:pt>
                <c:pt idx="238" formatCode="0">
                  <c:v>575439.93733711203</c:v>
                </c:pt>
                <c:pt idx="239" formatCode="0">
                  <c:v>602559.58607430954</c:v>
                </c:pt>
                <c:pt idx="240" formatCode="0">
                  <c:v>630957.34448014258</c:v>
                </c:pt>
                <c:pt idx="241" formatCode="0">
                  <c:v>660693.44800754171</c:v>
                </c:pt>
                <c:pt idx="242" formatCode="0">
                  <c:v>691830.9709188795</c:v>
                </c:pt>
                <c:pt idx="243" formatCode="0">
                  <c:v>724435.96007492894</c:v>
                </c:pt>
                <c:pt idx="244" formatCode="0">
                  <c:v>758577.57502911962</c:v>
                </c:pt>
                <c:pt idx="245" formatCode="0">
                  <c:v>794328.23472421279</c:v>
                </c:pt>
                <c:pt idx="246" formatCode="0">
                  <c:v>831763.77110259887</c:v>
                </c:pt>
                <c:pt idx="247" formatCode="0">
                  <c:v>870963.58995600487</c:v>
                </c:pt>
                <c:pt idx="248" formatCode="0">
                  <c:v>912010.83935582871</c:v>
                </c:pt>
                <c:pt idx="249" formatCode="0">
                  <c:v>954992.58602135081</c:v>
                </c:pt>
                <c:pt idx="250" formatCode="General">
                  <c:v>999999.99999990896</c:v>
                </c:pt>
              </c:numCache>
            </c:numRef>
          </c:xVal>
          <c:yVal>
            <c:numRef>
              <c:f>'Input and Results'!$W$80:$W$330</c:f>
              <c:numCache>
                <c:formatCode>General</c:formatCode>
                <c:ptCount val="251"/>
                <c:pt idx="0">
                  <c:v>59.999951745321304</c:v>
                </c:pt>
                <c:pt idx="1">
                  <c:v>59.999947089825305</c:v>
                </c:pt>
                <c:pt idx="2">
                  <c:v>59.999941985181195</c:v>
                </c:pt>
                <c:pt idx="3">
                  <c:v>59.999936388057115</c:v>
                </c:pt>
                <c:pt idx="4">
                  <c:v>59.999930250940892</c:v>
                </c:pt>
                <c:pt idx="5">
                  <c:v>59.999923521736733</c:v>
                </c:pt>
                <c:pt idx="6">
                  <c:v>59.999916143323084</c:v>
                </c:pt>
                <c:pt idx="7">
                  <c:v>59.999908053067806</c:v>
                </c:pt>
                <c:pt idx="8">
                  <c:v>59.999899182296616</c:v>
                </c:pt>
                <c:pt idx="9">
                  <c:v>59.999889455710246</c:v>
                </c:pt>
                <c:pt idx="10">
                  <c:v>59.999878790745392</c:v>
                </c:pt>
                <c:pt idx="11">
                  <c:v>59.999867096874084</c:v>
                </c:pt>
                <c:pt idx="12">
                  <c:v>59.999854274835357</c:v>
                </c:pt>
                <c:pt idx="13">
                  <c:v>59.999840215792958</c:v>
                </c:pt>
                <c:pt idx="14">
                  <c:v>59.999824800411837</c:v>
                </c:pt>
                <c:pt idx="15">
                  <c:v>59.999807897845436</c:v>
                </c:pt>
                <c:pt idx="16">
                  <c:v>59.999789364625535</c:v>
                </c:pt>
                <c:pt idx="17">
                  <c:v>59.9997690434449</c:v>
                </c:pt>
                <c:pt idx="18">
                  <c:v>59.999746761822699</c:v>
                </c:pt>
                <c:pt idx="19">
                  <c:v>59.999722330641198</c:v>
                </c:pt>
                <c:pt idx="20">
                  <c:v>59.999695542541303</c:v>
                </c:pt>
                <c:pt idx="21">
                  <c:v>59.999666170163799</c:v>
                </c:pt>
                <c:pt idx="22">
                  <c:v>59.999633964220607</c:v>
                </c:pt>
                <c:pt idx="23">
                  <c:v>59.999598651380623</c:v>
                </c:pt>
                <c:pt idx="24">
                  <c:v>59.999559931951538</c:v>
                </c:pt>
                <c:pt idx="25">
                  <c:v>59.999517477338543</c:v>
                </c:pt>
                <c:pt idx="26">
                  <c:v>59.999470927258088</c:v>
                </c:pt>
                <c:pt idx="27">
                  <c:v>59.999419886683299</c:v>
                </c:pt>
                <c:pt idx="28">
                  <c:v>59.99936392249537</c:v>
                </c:pt>
                <c:pt idx="29">
                  <c:v>59.999302559812421</c:v>
                </c:pt>
                <c:pt idx="30">
                  <c:v>59.999235277965013</c:v>
                </c:pt>
                <c:pt idx="31">
                  <c:v>59.999161506084356</c:v>
                </c:pt>
                <c:pt idx="32">
                  <c:v>59.999080618266021</c:v>
                </c:pt>
                <c:pt idx="33">
                  <c:v>59.998991928268417</c:v>
                </c:pt>
                <c:pt idx="34">
                  <c:v>59.998894683701522</c:v>
                </c:pt>
                <c:pt idx="35">
                  <c:v>59.998788059656867</c:v>
                </c:pt>
                <c:pt idx="36">
                  <c:v>59.998671151725382</c:v>
                </c:pt>
                <c:pt idx="37">
                  <c:v>59.998542968344573</c:v>
                </c:pt>
                <c:pt idx="38">
                  <c:v>59.998402422410777</c:v>
                </c:pt>
                <c:pt idx="39">
                  <c:v>59.998248322086354</c:v>
                </c:pt>
                <c:pt idx="40">
                  <c:v>59.998079360725043</c:v>
                </c:pt>
                <c:pt idx="41">
                  <c:v>59.997894105831342</c:v>
                </c:pt>
                <c:pt idx="42">
                  <c:v>59.997690986961985</c:v>
                </c:pt>
                <c:pt idx="43">
                  <c:v>59.997468282468787</c:v>
                </c:pt>
                <c:pt idx="44">
                  <c:v>59.997224104973142</c:v>
                </c:pt>
                <c:pt idx="45">
                  <c:v>59.99695638545154</c:v>
                </c:pt>
                <c:pt idx="46">
                  <c:v>59.996662855800778</c:v>
                </c:pt>
                <c:pt idx="47">
                  <c:v>59.99634102973954</c:v>
                </c:pt>
                <c:pt idx="48">
                  <c:v>59.995988181888862</c:v>
                </c:pt>
                <c:pt idx="49">
                  <c:v>59.99560132486085</c:v>
                </c:pt>
                <c:pt idx="50">
                  <c:v>59.99517718416832</c:v>
                </c:pt>
                <c:pt idx="51">
                  <c:v>59.994712170751654</c:v>
                </c:pt>
                <c:pt idx="52">
                  <c:v>59.994202350900636</c:v>
                </c:pt>
                <c:pt idx="53">
                  <c:v>59.993643413328918</c:v>
                </c:pt>
                <c:pt idx="54">
                  <c:v>59.993030633137607</c:v>
                </c:pt>
                <c:pt idx="55">
                  <c:v>59.992358832380773</c:v>
                </c:pt>
                <c:pt idx="56">
                  <c:v>59.991622336921054</c:v>
                </c:pt>
                <c:pt idx="57">
                  <c:v>59.990814929236279</c:v>
                </c:pt>
                <c:pt idx="58">
                  <c:v>59.989929796809243</c:v>
                </c:pt>
                <c:pt idx="59">
                  <c:v>59.988959475701797</c:v>
                </c:pt>
                <c:pt idx="60">
                  <c:v>59.987895788881403</c:v>
                </c:pt>
                <c:pt idx="61">
                  <c:v>59.986729778832945</c:v>
                </c:pt>
                <c:pt idx="62">
                  <c:v>59.985451633951605</c:v>
                </c:pt>
                <c:pt idx="63">
                  <c:v>59.984050608173007</c:v>
                </c:pt>
                <c:pt idx="64">
                  <c:v>59.982514933255501</c:v>
                </c:pt>
                <c:pt idx="65">
                  <c:v>59.980831723086553</c:v>
                </c:pt>
                <c:pt idx="66">
                  <c:v>59.978986869340083</c:v>
                </c:pt>
                <c:pt idx="67">
                  <c:v>59.976964927765806</c:v>
                </c:pt>
                <c:pt idx="68">
                  <c:v>59.974748994344786</c:v>
                </c:pt>
                <c:pt idx="69">
                  <c:v>59.972320570498411</c:v>
                </c:pt>
                <c:pt idx="70">
                  <c:v>59.969659416491439</c:v>
                </c:pt>
                <c:pt idx="71">
                  <c:v>59.966743392125011</c:v>
                </c:pt>
                <c:pt idx="72">
                  <c:v>59.963548283773306</c:v>
                </c:pt>
                <c:pt idx="73">
                  <c:v>59.960047616779974</c:v>
                </c:pt>
                <c:pt idx="74">
                  <c:v>59.956212452198649</c:v>
                </c:pt>
                <c:pt idx="75">
                  <c:v>59.952011166839362</c:v>
                </c:pt>
                <c:pt idx="76">
                  <c:v>59.947409215570516</c:v>
                </c:pt>
                <c:pt idx="77">
                  <c:v>59.942368874829583</c:v>
                </c:pt>
                <c:pt idx="78">
                  <c:v>59.936848966317498</c:v>
                </c:pt>
                <c:pt idx="79">
                  <c:v>59.930804559896522</c:v>
                </c:pt>
                <c:pt idx="80">
                  <c:v>59.924186654785956</c:v>
                </c:pt>
                <c:pt idx="81">
                  <c:v>59.916941838259305</c:v>
                </c:pt>
                <c:pt idx="82">
                  <c:v>59.909011921198925</c:v>
                </c:pt>
                <c:pt idx="83">
                  <c:v>59.900333550067472</c:v>
                </c:pt>
                <c:pt idx="84">
                  <c:v>59.89083779512012</c:v>
                </c:pt>
                <c:pt idx="85">
                  <c:v>59.880449715016596</c:v>
                </c:pt>
                <c:pt idx="86">
                  <c:v>59.869087898411479</c:v>
                </c:pt>
                <c:pt idx="87">
                  <c:v>59.856663983615292</c:v>
                </c:pt>
                <c:pt idx="88">
                  <c:v>59.84308215804262</c:v>
                </c:pt>
                <c:pt idx="89">
                  <c:v>59.828238639910509</c:v>
                </c:pt>
                <c:pt idx="90">
                  <c:v>59.812021145532668</c:v>
                </c:pt>
                <c:pt idx="91">
                  <c:v>59.794308346589077</c:v>
                </c:pt>
                <c:pt idx="92">
                  <c:v>59.774969322942503</c:v>
                </c:pt>
                <c:pt idx="93">
                  <c:v>59.753863017936879</c:v>
                </c:pt>
                <c:pt idx="94">
                  <c:v>59.730837704647072</c:v>
                </c:pt>
                <c:pt idx="95">
                  <c:v>59.705730473253553</c:v>
                </c:pt>
                <c:pt idx="96">
                  <c:v>59.678366751580178</c:v>
                </c:pt>
                <c:pt idx="97">
                  <c:v>59.648559872830646</c:v>
                </c:pt>
                <c:pt idx="98">
                  <c:v>59.616110706657786</c:v>
                </c:pt>
                <c:pt idx="99">
                  <c:v>59.580807371841644</c:v>
                </c:pt>
                <c:pt idx="100">
                  <c:v>59.5424250509638</c:v>
                </c:pt>
                <c:pt idx="101">
                  <c:v>59.500725929449047</c:v>
                </c:pt>
                <c:pt idx="102">
                  <c:v>59.455459283077481</c:v>
                </c:pt>
                <c:pt idx="103">
                  <c:v>59.406361739401319</c:v>
                </c:pt>
                <c:pt idx="104">
                  <c:v>59.35315773925695</c:v>
                </c:pt>
                <c:pt idx="105">
                  <c:v>59.295560224548097</c:v>
                </c:pt>
                <c:pt idx="106">
                  <c:v>59.233271577480117</c:v>
                </c:pt>
                <c:pt idx="107">
                  <c:v>59.165984834232873</c:v>
                </c:pt>
                <c:pt idx="108">
                  <c:v>59.093385192468773</c:v>
                </c:pt>
                <c:pt idx="109">
                  <c:v>59.015151826909722</c:v>
                </c:pt>
                <c:pt idx="110">
                  <c:v>58.93096002036468</c:v>
                </c:pt>
                <c:pt idx="111">
                  <c:v>58.840483609011258</c:v>
                </c:pt>
                <c:pt idx="112">
                  <c:v>58.743397730502224</c:v>
                </c:pt>
                <c:pt idx="113">
                  <c:v>58.639381851785366</c:v>
                </c:pt>
                <c:pt idx="114">
                  <c:v>58.528123040749421</c:v>
                </c:pt>
                <c:pt idx="115">
                  <c:v>58.409319432457558</c:v>
                </c:pt>
                <c:pt idx="116">
                  <c:v>58.282683827472894</c:v>
                </c:pt>
                <c:pt idx="117">
                  <c:v>58.147947347418409</c:v>
                </c:pt>
                <c:pt idx="118">
                  <c:v>58.00486306233006</c:v>
                </c:pt>
                <c:pt idx="119">
                  <c:v>57.853209496458348</c:v>
                </c:pt>
                <c:pt idx="120">
                  <c:v>57.692793914793292</c:v>
                </c:pt>
                <c:pt idx="121">
                  <c:v>57.523455292421481</c:v>
                </c:pt>
                <c:pt idx="122">
                  <c:v>57.345066873324875</c:v>
                </c:pt>
                <c:pt idx="123">
                  <c:v>57.157538234545726</c:v>
                </c:pt>
                <c:pt idx="124">
                  <c:v>56.960816785553163</c:v>
                </c:pt>
                <c:pt idx="125">
                  <c:v>56.754888650570436</c:v>
                </c:pt>
                <c:pt idx="126">
                  <c:v>56.539778902629322</c:v>
                </c:pt>
                <c:pt idx="127">
                  <c:v>56.315551141004562</c:v>
                </c:pt>
                <c:pt idx="128">
                  <c:v>56.082306427079168</c:v>
                </c:pt>
                <c:pt idx="129">
                  <c:v>55.840181616170725</c:v>
                </c:pt>
                <c:pt idx="130">
                  <c:v>55.589347143082144</c:v>
                </c:pt>
                <c:pt idx="131">
                  <c:v>55.330004335990395</c:v>
                </c:pt>
                <c:pt idx="132">
                  <c:v>55.06238234591757</c:v>
                </c:pt>
                <c:pt idx="133">
                  <c:v>54.786734786963869</c:v>
                </c:pt>
                <c:pt idx="134">
                  <c:v>54.5033361856092</c:v>
                </c:pt>
                <c:pt idx="135">
                  <c:v>54.212478335953811</c:v>
                </c:pt>
                <c:pt idx="136">
                  <c:v>53.914466652292205</c:v>
                </c:pt>
                <c:pt idx="137">
                  <c:v>53.609616601650956</c:v>
                </c:pt>
                <c:pt idx="138">
                  <c:v>53.298250287731513</c:v>
                </c:pt>
                <c:pt idx="139">
                  <c:v>52.980693244991492</c:v>
                </c:pt>
                <c:pt idx="140">
                  <c:v>52.657271488236944</c:v>
                </c:pt>
                <c:pt idx="141">
                  <c:v>52.328308849850053</c:v>
                </c:pt>
                <c:pt idx="142">
                  <c:v>51.994124624270256</c:v>
                </c:pt>
                <c:pt idx="143">
                  <c:v>51.65503152805109</c:v>
                </c:pt>
                <c:pt idx="144">
                  <c:v>51.31133397404588</c:v>
                </c:pt>
                <c:pt idx="145">
                  <c:v>50.963326650189117</c:v>
                </c:pt>
                <c:pt idx="146">
                  <c:v>50.611293386986091</c:v>
                </c:pt>
                <c:pt idx="147">
                  <c:v>50.255506293124562</c:v>
                </c:pt>
                <c:pt idx="148">
                  <c:v>49.896225135455182</c:v>
                </c:pt>
                <c:pt idx="149">
                  <c:v>49.533696937761043</c:v>
                </c:pt>
                <c:pt idx="150">
                  <c:v>49.168155772044322</c:v>
                </c:pt>
                <c:pt idx="151">
                  <c:v>48.799822716287558</c:v>
                </c:pt>
                <c:pt idx="152">
                  <c:v>48.428905953586828</c:v>
                </c:pt>
                <c:pt idx="153">
                  <c:v>48.055600989018394</c:v>
                </c:pt>
                <c:pt idx="154">
                  <c:v>47.680090962418895</c:v>
                </c:pt>
                <c:pt idx="155">
                  <c:v>47.302547037290225</c:v>
                </c:pt>
                <c:pt idx="156">
                  <c:v>46.923128848170478</c:v>
                </c:pt>
                <c:pt idx="157">
                  <c:v>46.541984990947931</c:v>
                </c:pt>
                <c:pt idx="158">
                  <c:v>46.159253542668381</c:v>
                </c:pt>
                <c:pt idx="159">
                  <c:v>45.775062599350527</c:v>
                </c:pt>
                <c:pt idx="160">
                  <c:v>45.389530822141424</c:v>
                </c:pt>
                <c:pt idx="161">
                  <c:v>45.002767983802634</c:v>
                </c:pt>
                <c:pt idx="162">
                  <c:v>44.614875509001081</c:v>
                </c:pt>
                <c:pt idx="163">
                  <c:v>44.225947003192488</c:v>
                </c:pt>
                <c:pt idx="164">
                  <c:v>43.836068766031943</c:v>
                </c:pt>
                <c:pt idx="165">
                  <c:v>43.445320286232416</c:v>
                </c:pt>
                <c:pt idx="166">
                  <c:v>43.053774715637203</c:v>
                </c:pt>
                <c:pt idx="167">
                  <c:v>42.661499320980134</c:v>
                </c:pt>
                <c:pt idx="168">
                  <c:v>42.268555912398327</c:v>
                </c:pt>
                <c:pt idx="169">
                  <c:v>41.875001248248644</c:v>
                </c:pt>
                <c:pt idx="170">
                  <c:v>41.480887416171662</c:v>
                </c:pt>
                <c:pt idx="171">
                  <c:v>41.0862621906615</c:v>
                </c:pt>
                <c:pt idx="172">
                  <c:v>40.6911693676441</c:v>
                </c:pt>
                <c:pt idx="173">
                  <c:v>40.295649076756661</c:v>
                </c:pt>
                <c:pt idx="174">
                  <c:v>39.899738072157106</c:v>
                </c:pt>
                <c:pt idx="175">
                  <c:v>39.503470002793236</c:v>
                </c:pt>
                <c:pt idx="176">
                  <c:v>39.106875663125052</c:v>
                </c:pt>
                <c:pt idx="177">
                  <c:v>38.709983225331058</c:v>
                </c:pt>
                <c:pt idx="178">
                  <c:v>38.312818454047324</c:v>
                </c:pt>
                <c:pt idx="179">
                  <c:v>37.915404904682859</c:v>
                </c:pt>
                <c:pt idx="180">
                  <c:v>37.517764106343229</c:v>
                </c:pt>
                <c:pt idx="181">
                  <c:v>37.119915730364909</c:v>
                </c:pt>
                <c:pt idx="182">
                  <c:v>36.721877745432216</c:v>
                </c:pt>
                <c:pt idx="183">
                  <c:v>36.323666560206256</c:v>
                </c:pt>
                <c:pt idx="184">
                  <c:v>35.925297154353956</c:v>
                </c:pt>
                <c:pt idx="185">
                  <c:v>35.526783198819103</c:v>
                </c:pt>
                <c:pt idx="186">
                  <c:v>35.128137166128916</c:v>
                </c:pt>
                <c:pt idx="187">
                  <c:v>34.729370431483872</c:v>
                </c:pt>
                <c:pt idx="188">
                  <c:v>34.330493365329922</c:v>
                </c:pt>
                <c:pt idx="189">
                  <c:v>33.931515418067562</c:v>
                </c:pt>
                <c:pt idx="190">
                  <c:v>33.532445197504998</c:v>
                </c:pt>
                <c:pt idx="191">
                  <c:v>33.13329053962206</c:v>
                </c:pt>
                <c:pt idx="192">
                  <c:v>32.734058573167403</c:v>
                </c:pt>
                <c:pt idx="193">
                  <c:v>32.334755778573836</c:v>
                </c:pt>
                <c:pt idx="194">
                  <c:v>31.93538804163801</c:v>
                </c:pt>
                <c:pt idx="195">
                  <c:v>31.535960702375647</c:v>
                </c:pt>
                <c:pt idx="196">
                  <c:v>31.1364785994298</c:v>
                </c:pt>
                <c:pt idx="197">
                  <c:v>30.736946110377559</c:v>
                </c:pt>
                <c:pt idx="198">
                  <c:v>30.337367188252877</c:v>
                </c:pt>
                <c:pt idx="199">
                  <c:v>29.937745394571955</c:v>
                </c:pt>
                <c:pt idx="200">
                  <c:v>29.538083929125882</c:v>
                </c:pt>
                <c:pt idx="201">
                  <c:v>29.13838565677684</c:v>
                </c:pt>
                <c:pt idx="202">
                  <c:v>28.738653131473832</c:v>
                </c:pt>
                <c:pt idx="203">
                  <c:v>28.338888617681178</c:v>
                </c:pt>
                <c:pt idx="204">
                  <c:v>27.939094109393345</c:v>
                </c:pt>
                <c:pt idx="205">
                  <c:v>27.53927134689053</c:v>
                </c:pt>
                <c:pt idx="206">
                  <c:v>27.13942183137091</c:v>
                </c:pt>
                <c:pt idx="207">
                  <c:v>26.739546837580107</c:v>
                </c:pt>
                <c:pt idx="208">
                  <c:v>26.339647424539617</c:v>
                </c:pt>
                <c:pt idx="209">
                  <c:v>25.939724444463891</c:v>
                </c:pt>
                <c:pt idx="210">
                  <c:v>25.539778549937765</c:v>
                </c:pt>
                <c:pt idx="211">
                  <c:v>25.139810199414239</c:v>
                </c:pt>
                <c:pt idx="212">
                  <c:v>24.739819661077544</c:v>
                </c:pt>
                <c:pt idx="213">
                  <c:v>24.339807015102764</c:v>
                </c:pt>
                <c:pt idx="214">
                  <c:v>23.939772154332047</c:v>
                </c:pt>
                <c:pt idx="215">
                  <c:v>23.539714783370982</c:v>
                </c:pt>
                <c:pt idx="216">
                  <c:v>23.13963441609987</c:v>
                </c:pt>
                <c:pt idx="217">
                  <c:v>22.739530371577192</c:v>
                </c:pt>
                <c:pt idx="218">
                  <c:v>22.339401768303738</c:v>
                </c:pt>
                <c:pt idx="219">
                  <c:v>21.939247516798289</c:v>
                </c:pt>
                <c:pt idx="220">
                  <c:v>21.539066310424925</c:v>
                </c:pt>
                <c:pt idx="221">
                  <c:v>21.138856614396445</c:v>
                </c:pt>
                <c:pt idx="222">
                  <c:v>20.738616652863982</c:v>
                </c:pt>
                <c:pt idx="223">
                  <c:v>20.338344393985931</c:v>
                </c:pt>
                <c:pt idx="224">
                  <c:v>19.938037532856889</c:v>
                </c:pt>
                <c:pt idx="225">
                  <c:v>19.537693472154768</c:v>
                </c:pt>
                <c:pt idx="226">
                  <c:v>19.1373093003515</c:v>
                </c:pt>
                <c:pt idx="227">
                  <c:v>18.736881767309079</c:v>
                </c:pt>
                <c:pt idx="228">
                  <c:v>18.336407257065918</c:v>
                </c:pt>
                <c:pt idx="229">
                  <c:v>17.935881757594586</c:v>
                </c:pt>
                <c:pt idx="230">
                  <c:v>17.535300827288975</c:v>
                </c:pt>
                <c:pt idx="231">
                  <c:v>17.134659557916013</c:v>
                </c:pt>
                <c:pt idx="232">
                  <c:v>16.733952533738332</c:v>
                </c:pt>
                <c:pt idx="233">
                  <c:v>16.333173786487901</c:v>
                </c:pt>
                <c:pt idx="234">
                  <c:v>15.932316745840666</c:v>
                </c:pt>
                <c:pt idx="235">
                  <c:v>15.531374185009239</c:v>
                </c:pt>
                <c:pt idx="236">
                  <c:v>15.130338161038264</c:v>
                </c:pt>
                <c:pt idx="237">
                  <c:v>14.729199949349933</c:v>
                </c:pt>
                <c:pt idx="238">
                  <c:v>14.327949972051046</c:v>
                </c:pt>
                <c:pt idx="239">
                  <c:v>13.926577719470725</c:v>
                </c:pt>
                <c:pt idx="240">
                  <c:v>13.525071664358331</c:v>
                </c:pt>
                <c:pt idx="241">
                  <c:v>13.123419168126722</c:v>
                </c:pt>
                <c:pt idx="242">
                  <c:v>12.721606378479768</c:v>
                </c:pt>
                <c:pt idx="243">
                  <c:v>12.319618117718692</c:v>
                </c:pt>
                <c:pt idx="244">
                  <c:v>11.91743776097274</c:v>
                </c:pt>
                <c:pt idx="245">
                  <c:v>11.515047103553336</c:v>
                </c:pt>
                <c:pt idx="246">
                  <c:v>11.112426216583213</c:v>
                </c:pt>
                <c:pt idx="247">
                  <c:v>10.709553290006976</c:v>
                </c:pt>
                <c:pt idx="248">
                  <c:v>10.306404462045901</c:v>
                </c:pt>
                <c:pt idx="249">
                  <c:v>9.9029536341215252</c:v>
                </c:pt>
                <c:pt idx="250">
                  <c:v>9.499172270240134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9D-4CAA-AD7F-ABBD88A0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630223"/>
        <c:axId val="1"/>
      </c:scatterChart>
      <c:scatterChart>
        <c:scatterStyle val="lineMarker"/>
        <c:varyColors val="0"/>
        <c:ser>
          <c:idx val="1"/>
          <c:order val="1"/>
          <c:tx>
            <c:v>Phase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'Input and Results'!$C$80:$C$330</c:f>
              <c:numCache>
                <c:formatCode>0.00</c:formatCode>
                <c:ptCount val="251"/>
                <c:pt idx="0" formatCode="General">
                  <c:v>10</c:v>
                </c:pt>
                <c:pt idx="1">
                  <c:v>10.471285480509</c:v>
                </c:pt>
                <c:pt idx="2">
                  <c:v>10.964781961431854</c:v>
                </c:pt>
                <c:pt idx="3">
                  <c:v>11.481536214968834</c:v>
                </c:pt>
                <c:pt idx="4">
                  <c:v>12.022644346174133</c:v>
                </c:pt>
                <c:pt idx="5">
                  <c:v>12.58925411794168</c:v>
                </c:pt>
                <c:pt idx="6">
                  <c:v>13.182567385564075</c:v>
                </c:pt>
                <c:pt idx="7">
                  <c:v>13.803842646028857</c:v>
                </c:pt>
                <c:pt idx="8">
                  <c:v>14.454397707459282</c:v>
                </c:pt>
                <c:pt idx="9">
                  <c:v>15.135612484362092</c:v>
                </c:pt>
                <c:pt idx="10">
                  <c:v>15.848931924611144</c:v>
                </c:pt>
                <c:pt idx="11">
                  <c:v>16.595869074375621</c:v>
                </c:pt>
                <c:pt idx="12">
                  <c:v>17.378008287493763</c:v>
                </c:pt>
                <c:pt idx="13">
                  <c:v>18.197008586099848</c:v>
                </c:pt>
                <c:pt idx="14">
                  <c:v>19.054607179632484</c:v>
                </c:pt>
                <c:pt idx="15">
                  <c:v>19.952623149688815</c:v>
                </c:pt>
                <c:pt idx="16">
                  <c:v>20.892961308540418</c:v>
                </c:pt>
                <c:pt idx="17">
                  <c:v>21.877616239495548</c:v>
                </c:pt>
                <c:pt idx="18">
                  <c:v>22.908676527677759</c:v>
                </c:pt>
                <c:pt idx="19">
                  <c:v>23.988329190194928</c:v>
                </c:pt>
                <c:pt idx="20">
                  <c:v>25.118864315095834</c:v>
                </c:pt>
                <c:pt idx="21">
                  <c:v>26.302679918953849</c:v>
                </c:pt>
                <c:pt idx="22">
                  <c:v>27.542287033381701</c:v>
                </c:pt>
                <c:pt idx="23">
                  <c:v>28.840315031266094</c:v>
                </c:pt>
                <c:pt idx="24">
                  <c:v>30.199517204020204</c:v>
                </c:pt>
                <c:pt idx="25">
                  <c:v>31.622776601683832</c:v>
                </c:pt>
                <c:pt idx="26">
                  <c:v>33.113112148259155</c:v>
                </c:pt>
                <c:pt idx="27">
                  <c:v>34.673685045253208</c:v>
                </c:pt>
                <c:pt idx="28">
                  <c:v>36.307805477010191</c:v>
                </c:pt>
                <c:pt idx="29">
                  <c:v>38.018939632056167</c:v>
                </c:pt>
                <c:pt idx="30">
                  <c:v>39.810717055349791</c:v>
                </c:pt>
                <c:pt idx="31">
                  <c:v>41.686938347033596</c:v>
                </c:pt>
                <c:pt idx="32">
                  <c:v>43.651583224016669</c:v>
                </c:pt>
                <c:pt idx="33">
                  <c:v>45.708818961487587</c:v>
                </c:pt>
                <c:pt idx="34">
                  <c:v>47.86300923226392</c:v>
                </c:pt>
                <c:pt idx="35">
                  <c:v>50.11872336272733</c:v>
                </c:pt>
                <c:pt idx="36">
                  <c:v>52.48074602497735</c:v>
                </c:pt>
                <c:pt idx="37">
                  <c:v>54.95408738576257</c:v>
                </c:pt>
                <c:pt idx="38">
                  <c:v>57.543993733715801</c:v>
                </c:pt>
                <c:pt idx="39">
                  <c:v>60.255958607435872</c:v>
                </c:pt>
                <c:pt idx="40">
                  <c:v>63.095734448019471</c:v>
                </c:pt>
                <c:pt idx="41">
                  <c:v>66.069344800759737</c:v>
                </c:pt>
                <c:pt idx="42">
                  <c:v>69.183097091893785</c:v>
                </c:pt>
                <c:pt idx="43">
                  <c:v>72.443596007499139</c:v>
                </c:pt>
                <c:pt idx="44">
                  <c:v>75.85775750291856</c:v>
                </c:pt>
                <c:pt idx="45">
                  <c:v>79.432823472428325</c:v>
                </c:pt>
                <c:pt idx="46">
                  <c:v>83.176377110267268</c:v>
                </c:pt>
                <c:pt idx="47">
                  <c:v>87.096358995608313</c:v>
                </c:pt>
                <c:pt idx="48">
                  <c:v>91.201083935591214</c:v>
                </c:pt>
                <c:pt idx="49">
                  <c:v>95.499258602143826</c:v>
                </c:pt>
                <c:pt idx="50">
                  <c:v>100.00000000000023</c:v>
                </c:pt>
                <c:pt idx="51">
                  <c:v>104.71285480509026</c:v>
                </c:pt>
                <c:pt idx="52">
                  <c:v>109.64781961431881</c:v>
                </c:pt>
                <c:pt idx="53">
                  <c:v>114.81536214968857</c:v>
                </c:pt>
                <c:pt idx="54">
                  <c:v>120.22644346174157</c:v>
                </c:pt>
                <c:pt idx="55">
                  <c:v>125.89254117941711</c:v>
                </c:pt>
                <c:pt idx="56">
                  <c:v>131.82567385564107</c:v>
                </c:pt>
                <c:pt idx="57">
                  <c:v>138.03842646028886</c:v>
                </c:pt>
                <c:pt idx="58">
                  <c:v>144.5439770745931</c:v>
                </c:pt>
                <c:pt idx="59">
                  <c:v>151.3561248436213</c:v>
                </c:pt>
                <c:pt idx="60">
                  <c:v>158.48931924611182</c:v>
                </c:pt>
                <c:pt idx="61">
                  <c:v>165.95869074375653</c:v>
                </c:pt>
                <c:pt idx="62">
                  <c:v>173.78008287493799</c:v>
                </c:pt>
                <c:pt idx="63">
                  <c:v>181.97008586099895</c:v>
                </c:pt>
                <c:pt idx="64">
                  <c:v>190.54607179632529</c:v>
                </c:pt>
                <c:pt idx="65">
                  <c:v>199.52623149688853</c:v>
                </c:pt>
                <c:pt idx="66">
                  <c:v>208.9296130854047</c:v>
                </c:pt>
                <c:pt idx="67">
                  <c:v>218.776162394956</c:v>
                </c:pt>
                <c:pt idx="68">
                  <c:v>229.08676527677804</c:v>
                </c:pt>
                <c:pt idx="69">
                  <c:v>239.88329190194978</c:v>
                </c:pt>
                <c:pt idx="70">
                  <c:v>251.18864315095894</c:v>
                </c:pt>
                <c:pt idx="71">
                  <c:v>263.02679918953913</c:v>
                </c:pt>
                <c:pt idx="72">
                  <c:v>275.42287033381757</c:v>
                </c:pt>
                <c:pt idx="73">
                  <c:v>288.40315031266152</c:v>
                </c:pt>
                <c:pt idx="74">
                  <c:v>301.99517204020276</c:v>
                </c:pt>
                <c:pt idx="75">
                  <c:v>316.2277660168391</c:v>
                </c:pt>
                <c:pt idx="76">
                  <c:v>331.13112148259222</c:v>
                </c:pt>
                <c:pt idx="77">
                  <c:v>346.73685045253279</c:v>
                </c:pt>
                <c:pt idx="78">
                  <c:v>363.07805477010277</c:v>
                </c:pt>
                <c:pt idx="79">
                  <c:v>380.18939632056265</c:v>
                </c:pt>
                <c:pt idx="80">
                  <c:v>398.10717055349869</c:v>
                </c:pt>
                <c:pt idx="81">
                  <c:v>416.8693834703372</c:v>
                </c:pt>
                <c:pt idx="82">
                  <c:v>436.51583224016775</c:v>
                </c:pt>
                <c:pt idx="83">
                  <c:v>457.0881896148768</c:v>
                </c:pt>
                <c:pt idx="84">
                  <c:v>478.63009232264011</c:v>
                </c:pt>
                <c:pt idx="85">
                  <c:v>501.18723362727451</c:v>
                </c:pt>
                <c:pt idx="86">
                  <c:v>524.80746024977486</c:v>
                </c:pt>
                <c:pt idx="87">
                  <c:v>549.54087385762671</c:v>
                </c:pt>
                <c:pt idx="88">
                  <c:v>575.43993733715911</c:v>
                </c:pt>
                <c:pt idx="89">
                  <c:v>602.55958607436048</c:v>
                </c:pt>
                <c:pt idx="90">
                  <c:v>630.95734448019596</c:v>
                </c:pt>
                <c:pt idx="91">
                  <c:v>660.6934480075987</c:v>
                </c:pt>
                <c:pt idx="92">
                  <c:v>691.83097091893922</c:v>
                </c:pt>
                <c:pt idx="93">
                  <c:v>724.43596007499343</c:v>
                </c:pt>
                <c:pt idx="94">
                  <c:v>758.57757502918719</c:v>
                </c:pt>
                <c:pt idx="95">
                  <c:v>794.32823472428493</c:v>
                </c:pt>
                <c:pt idx="96">
                  <c:v>831.76377110267515</c:v>
                </c:pt>
                <c:pt idx="97">
                  <c:v>870.96358995608477</c:v>
                </c:pt>
                <c:pt idx="98">
                  <c:v>912.01083935591396</c:v>
                </c:pt>
                <c:pt idx="99">
                  <c:v>954.99258602144016</c:v>
                </c:pt>
                <c:pt idx="100" formatCode="General">
                  <c:v>1000.0000000000051</c:v>
                </c:pt>
                <c:pt idx="101" formatCode="0">
                  <c:v>1047.1285480509046</c:v>
                </c:pt>
                <c:pt idx="102" formatCode="0">
                  <c:v>1096.4781961431902</c:v>
                </c:pt>
                <c:pt idx="103" formatCode="0">
                  <c:v>1148.153621496888</c:v>
                </c:pt>
                <c:pt idx="104" formatCode="0">
                  <c:v>1202.2644346174193</c:v>
                </c:pt>
                <c:pt idx="105" formatCode="0">
                  <c:v>1258.9254117941734</c:v>
                </c:pt>
                <c:pt idx="106" formatCode="0">
                  <c:v>1318.2567385564134</c:v>
                </c:pt>
                <c:pt idx="107" formatCode="0">
                  <c:v>1380.3842646028913</c:v>
                </c:pt>
                <c:pt idx="108" formatCode="0">
                  <c:v>1445.4397707459352</c:v>
                </c:pt>
                <c:pt idx="109" formatCode="0">
                  <c:v>1513.5612484362159</c:v>
                </c:pt>
                <c:pt idx="110" formatCode="0">
                  <c:v>1584.8931924611213</c:v>
                </c:pt>
                <c:pt idx="111" formatCode="0">
                  <c:v>1659.5869074375701</c:v>
                </c:pt>
                <c:pt idx="112" formatCode="0">
                  <c:v>1737.8008287493849</c:v>
                </c:pt>
                <c:pt idx="113" formatCode="0">
                  <c:v>1819.700858609993</c:v>
                </c:pt>
                <c:pt idx="114" formatCode="0">
                  <c:v>1905.4607179632569</c:v>
                </c:pt>
                <c:pt idx="115" formatCode="0">
                  <c:v>1995.2623149688911</c:v>
                </c:pt>
                <c:pt idx="116" formatCode="0">
                  <c:v>2089.2961308540512</c:v>
                </c:pt>
                <c:pt idx="117" formatCode="0">
                  <c:v>2187.7616239495642</c:v>
                </c:pt>
                <c:pt idx="118" formatCode="0">
                  <c:v>2290.8676527677849</c:v>
                </c:pt>
                <c:pt idx="119" formatCode="0">
                  <c:v>2398.8329190195045</c:v>
                </c:pt>
                <c:pt idx="120" formatCode="0">
                  <c:v>2511.8864315095943</c:v>
                </c:pt>
                <c:pt idx="121" formatCode="0">
                  <c:v>2630.2679918953963</c:v>
                </c:pt>
                <c:pt idx="122" formatCode="0">
                  <c:v>2754.2287033381813</c:v>
                </c:pt>
                <c:pt idx="123" formatCode="0">
                  <c:v>2884.0315031266232</c:v>
                </c:pt>
                <c:pt idx="124" formatCode="0">
                  <c:v>3019.951720402034</c:v>
                </c:pt>
                <c:pt idx="125" formatCode="0">
                  <c:v>3162.2776601683972</c:v>
                </c:pt>
                <c:pt idx="126" formatCode="0">
                  <c:v>3311.3112148259288</c:v>
                </c:pt>
                <c:pt idx="127" formatCode="0">
                  <c:v>3467.3685045253346</c:v>
                </c:pt>
                <c:pt idx="128" formatCode="0">
                  <c:v>3630.7805477010384</c:v>
                </c:pt>
                <c:pt idx="129" formatCode="0">
                  <c:v>3801.8939632056372</c:v>
                </c:pt>
                <c:pt idx="130" formatCode="0">
                  <c:v>3981.0717055349983</c:v>
                </c:pt>
                <c:pt idx="131" formatCode="0">
                  <c:v>4168.6938347033802</c:v>
                </c:pt>
                <c:pt idx="132" formatCode="0">
                  <c:v>4365.1583224016858</c:v>
                </c:pt>
                <c:pt idx="133" formatCode="0">
                  <c:v>4570.8818961487768</c:v>
                </c:pt>
                <c:pt idx="134" formatCode="0">
                  <c:v>4786.3009232264103</c:v>
                </c:pt>
                <c:pt idx="135" formatCode="0">
                  <c:v>5011.8723362727505</c:v>
                </c:pt>
                <c:pt idx="136" formatCode="0">
                  <c:v>5248.0746024977634</c:v>
                </c:pt>
                <c:pt idx="137" formatCode="0">
                  <c:v>5495.4087385762832</c:v>
                </c:pt>
                <c:pt idx="138" formatCode="0">
                  <c:v>5754.3993733716079</c:v>
                </c:pt>
                <c:pt idx="139" formatCode="0">
                  <c:v>6025.5958607436169</c:v>
                </c:pt>
                <c:pt idx="140" formatCode="0">
                  <c:v>6309.5734448019721</c:v>
                </c:pt>
                <c:pt idx="141" formatCode="0">
                  <c:v>6606.9344800760009</c:v>
                </c:pt>
                <c:pt idx="142" formatCode="0">
                  <c:v>6918.309709189406</c:v>
                </c:pt>
                <c:pt idx="143" formatCode="0">
                  <c:v>7244.3596007499555</c:v>
                </c:pt>
                <c:pt idx="144" formatCode="0">
                  <c:v>7585.775750291893</c:v>
                </c:pt>
                <c:pt idx="145" formatCode="0">
                  <c:v>7943.2823472428718</c:v>
                </c:pt>
                <c:pt idx="146" formatCode="0">
                  <c:v>8317.6377110267676</c:v>
                </c:pt>
                <c:pt idx="147" formatCode="0">
                  <c:v>8709.6358995608662</c:v>
                </c:pt>
                <c:pt idx="148" formatCode="0">
                  <c:v>9120.1083935591578</c:v>
                </c:pt>
                <c:pt idx="149" formatCode="0">
                  <c:v>9549.92586021442</c:v>
                </c:pt>
                <c:pt idx="150" formatCode="General">
                  <c:v>10000.000000000062</c:v>
                </c:pt>
                <c:pt idx="151" formatCode="0">
                  <c:v>10471.285480509057</c:v>
                </c:pt>
                <c:pt idx="152" formatCode="0">
                  <c:v>10964.781961431914</c:v>
                </c:pt>
                <c:pt idx="153" formatCode="0">
                  <c:v>11481.536214968872</c:v>
                </c:pt>
                <c:pt idx="154" formatCode="0">
                  <c:v>12022.644346174173</c:v>
                </c:pt>
                <c:pt idx="155" formatCode="0">
                  <c:v>12589.254117941693</c:v>
                </c:pt>
                <c:pt idx="156" formatCode="0">
                  <c:v>13182.567385564091</c:v>
                </c:pt>
                <c:pt idx="157" formatCode="0">
                  <c:v>13803.842646028841</c:v>
                </c:pt>
                <c:pt idx="158" formatCode="0">
                  <c:v>14454.397707459266</c:v>
                </c:pt>
                <c:pt idx="159" formatCode="0">
                  <c:v>15135.612484362042</c:v>
                </c:pt>
                <c:pt idx="160" formatCode="0">
                  <c:v>15848.93192461109</c:v>
                </c:pt>
                <c:pt idx="161" formatCode="0">
                  <c:v>16595.869074375558</c:v>
                </c:pt>
                <c:pt idx="162" formatCode="0">
                  <c:v>17378.008287493667</c:v>
                </c:pt>
                <c:pt idx="163" formatCode="0">
                  <c:v>18197.008586099739</c:v>
                </c:pt>
                <c:pt idx="164" formatCode="0">
                  <c:v>19054.607179632338</c:v>
                </c:pt>
                <c:pt idx="165" formatCode="0">
                  <c:v>19952.62314968865</c:v>
                </c:pt>
                <c:pt idx="166" formatCode="0">
                  <c:v>20892.961308540202</c:v>
                </c:pt>
                <c:pt idx="167" formatCode="0">
                  <c:v>21877.616239495317</c:v>
                </c:pt>
                <c:pt idx="168" formatCode="0">
                  <c:v>22908.676527677468</c:v>
                </c:pt>
                <c:pt idx="169" formatCode="0">
                  <c:v>23988.329190194625</c:v>
                </c:pt>
                <c:pt idx="170" formatCode="0">
                  <c:v>25118.864315095503</c:v>
                </c:pt>
                <c:pt idx="171" formatCode="0">
                  <c:v>26302.679918953458</c:v>
                </c:pt>
                <c:pt idx="172" formatCode="0">
                  <c:v>27542.287033381279</c:v>
                </c:pt>
                <c:pt idx="173" formatCode="0">
                  <c:v>28840.3150312656</c:v>
                </c:pt>
                <c:pt idx="174" formatCode="0">
                  <c:v>30199.517204019674</c:v>
                </c:pt>
                <c:pt idx="175" formatCode="0">
                  <c:v>31622.776601683221</c:v>
                </c:pt>
                <c:pt idx="176" formatCode="0">
                  <c:v>33113.1121482585</c:v>
                </c:pt>
                <c:pt idx="177" formatCode="0">
                  <c:v>34673.685045252525</c:v>
                </c:pt>
                <c:pt idx="178" formatCode="0">
                  <c:v>36307.805477009388</c:v>
                </c:pt>
                <c:pt idx="179" formatCode="0">
                  <c:v>38018.939632055335</c:v>
                </c:pt>
                <c:pt idx="180" formatCode="0">
                  <c:v>39810.717055348825</c:v>
                </c:pt>
                <c:pt idx="181" formatCode="0">
                  <c:v>41686.938347032592</c:v>
                </c:pt>
                <c:pt idx="182" formatCode="0">
                  <c:v>43651.583224015514</c:v>
                </c:pt>
                <c:pt idx="183" formatCode="0">
                  <c:v>45708.818961486359</c:v>
                </c:pt>
                <c:pt idx="184" formatCode="0">
                  <c:v>47863.009232262542</c:v>
                </c:pt>
                <c:pt idx="185" formatCode="0">
                  <c:v>50118.723362725868</c:v>
                </c:pt>
                <c:pt idx="186" formatCode="0">
                  <c:v>52480.746024975822</c:v>
                </c:pt>
                <c:pt idx="187" formatCode="0">
                  <c:v>54954.087385760846</c:v>
                </c:pt>
                <c:pt idx="188" formatCode="0">
                  <c:v>57543.993733714</c:v>
                </c:pt>
                <c:pt idx="189" formatCode="0">
                  <c:v>60255.95860743388</c:v>
                </c:pt>
                <c:pt idx="190" formatCode="0">
                  <c:v>63095.734448017327</c:v>
                </c:pt>
                <c:pt idx="191" formatCode="0">
                  <c:v>66069.344800757375</c:v>
                </c:pt>
                <c:pt idx="192" formatCode="0">
                  <c:v>69183.097091891308</c:v>
                </c:pt>
                <c:pt idx="193" formatCode="0">
                  <c:v>72443.59600749641</c:v>
                </c:pt>
                <c:pt idx="194" formatCode="0">
                  <c:v>75857.757502915643</c:v>
                </c:pt>
                <c:pt idx="195" formatCode="0">
                  <c:v>79432.823472425283</c:v>
                </c:pt>
                <c:pt idx="196" formatCode="0">
                  <c:v>83176.377110263929</c:v>
                </c:pt>
                <c:pt idx="197" formatCode="0">
                  <c:v>87096.358995604722</c:v>
                </c:pt>
                <c:pt idx="198" formatCode="0">
                  <c:v>91201.083935587303</c:v>
                </c:pt>
                <c:pt idx="199" formatCode="0">
                  <c:v>95499.258602139729</c:v>
                </c:pt>
                <c:pt idx="200" formatCode="General">
                  <c:v>99999.999999995751</c:v>
                </c:pt>
                <c:pt idx="201" formatCode="0">
                  <c:v>104712.85480508549</c:v>
                </c:pt>
                <c:pt idx="202" formatCode="0">
                  <c:v>109647.81961431362</c:v>
                </c:pt>
                <c:pt idx="203" formatCode="0">
                  <c:v>114815.36214968313</c:v>
                </c:pt>
                <c:pt idx="204" formatCode="0">
                  <c:v>120226.44346173588</c:v>
                </c:pt>
                <c:pt idx="205" formatCode="0">
                  <c:v>125892.54117941081</c:v>
                </c:pt>
                <c:pt idx="206" formatCode="0">
                  <c:v>131825.67385563449</c:v>
                </c:pt>
                <c:pt idx="207" formatCode="0">
                  <c:v>138038.42646028171</c:v>
                </c:pt>
                <c:pt idx="208" formatCode="0">
                  <c:v>144543.97707458562</c:v>
                </c:pt>
                <c:pt idx="209" formatCode="0">
                  <c:v>151356.12484361307</c:v>
                </c:pt>
                <c:pt idx="210" formatCode="0">
                  <c:v>158489.3192461032</c:v>
                </c:pt>
                <c:pt idx="211" formatCode="0">
                  <c:v>165958.6907437472</c:v>
                </c:pt>
                <c:pt idx="212" formatCode="0">
                  <c:v>173780.08287492822</c:v>
                </c:pt>
                <c:pt idx="213" formatCode="0">
                  <c:v>181970.08586098856</c:v>
                </c:pt>
                <c:pt idx="214" formatCode="0">
                  <c:v>190546.07179631409</c:v>
                </c:pt>
                <c:pt idx="215" formatCode="0">
                  <c:v>199526.2314968768</c:v>
                </c:pt>
                <c:pt idx="216" formatCode="0">
                  <c:v>208929.61308539184</c:v>
                </c:pt>
                <c:pt idx="217" formatCode="0">
                  <c:v>218776.16239494254</c:v>
                </c:pt>
                <c:pt idx="218" formatCode="0">
                  <c:v>229086.76527676353</c:v>
                </c:pt>
                <c:pt idx="219" formatCode="0">
                  <c:v>239883.2919019346</c:v>
                </c:pt>
                <c:pt idx="220" formatCode="0">
                  <c:v>251188.64315094237</c:v>
                </c:pt>
                <c:pt idx="221" formatCode="0">
                  <c:v>263026.79918952176</c:v>
                </c:pt>
                <c:pt idx="222" formatCode="0">
                  <c:v>275422.87033379939</c:v>
                </c:pt>
                <c:pt idx="223" formatCode="0">
                  <c:v>288403.15031264198</c:v>
                </c:pt>
                <c:pt idx="224" formatCode="0">
                  <c:v>301995.17204018205</c:v>
                </c:pt>
                <c:pt idx="225" formatCode="0">
                  <c:v>316227.76601681684</c:v>
                </c:pt>
                <c:pt idx="226" formatCode="0">
                  <c:v>331131.12148256891</c:v>
                </c:pt>
                <c:pt idx="227" formatCode="0">
                  <c:v>346736.85045250773</c:v>
                </c:pt>
                <c:pt idx="228" formatCode="0">
                  <c:v>363078.05477007624</c:v>
                </c:pt>
                <c:pt idx="229" formatCode="0">
                  <c:v>380189.39632053417</c:v>
                </c:pt>
                <c:pt idx="230" formatCode="0">
                  <c:v>398107.17055346887</c:v>
                </c:pt>
                <c:pt idx="231" formatCode="0">
                  <c:v>416869.38347030559</c:v>
                </c:pt>
                <c:pt idx="232" formatCode="0">
                  <c:v>436515.8322401339</c:v>
                </c:pt>
                <c:pt idx="233" formatCode="0">
                  <c:v>457088.18961484137</c:v>
                </c:pt>
                <c:pt idx="234" formatCode="0">
                  <c:v>478630.09232260217</c:v>
                </c:pt>
                <c:pt idx="235" formatCode="0">
                  <c:v>501187.23362723429</c:v>
                </c:pt>
                <c:pt idx="236" formatCode="0">
                  <c:v>524807.46024973178</c:v>
                </c:pt>
                <c:pt idx="237" formatCode="0">
                  <c:v>549540.87385758176</c:v>
                </c:pt>
                <c:pt idx="238" formatCode="0">
                  <c:v>575439.93733711203</c:v>
                </c:pt>
                <c:pt idx="239" formatCode="0">
                  <c:v>602559.58607430954</c:v>
                </c:pt>
                <c:pt idx="240" formatCode="0">
                  <c:v>630957.34448014258</c:v>
                </c:pt>
                <c:pt idx="241" formatCode="0">
                  <c:v>660693.44800754171</c:v>
                </c:pt>
                <c:pt idx="242" formatCode="0">
                  <c:v>691830.9709188795</c:v>
                </c:pt>
                <c:pt idx="243" formatCode="0">
                  <c:v>724435.96007492894</c:v>
                </c:pt>
                <c:pt idx="244" formatCode="0">
                  <c:v>758577.57502911962</c:v>
                </c:pt>
                <c:pt idx="245" formatCode="0">
                  <c:v>794328.23472421279</c:v>
                </c:pt>
                <c:pt idx="246" formatCode="0">
                  <c:v>831763.77110259887</c:v>
                </c:pt>
                <c:pt idx="247" formatCode="0">
                  <c:v>870963.58995600487</c:v>
                </c:pt>
                <c:pt idx="248" formatCode="0">
                  <c:v>912010.83935582871</c:v>
                </c:pt>
                <c:pt idx="249" formatCode="0">
                  <c:v>954992.58602135081</c:v>
                </c:pt>
                <c:pt idx="250" formatCode="General">
                  <c:v>999999.99999990896</c:v>
                </c:pt>
              </c:numCache>
            </c:numRef>
          </c:xVal>
          <c:yVal>
            <c:numRef>
              <c:f>'Input and Results'!$V$80:$V$330</c:f>
              <c:numCache>
                <c:formatCode>General</c:formatCode>
                <c:ptCount val="251"/>
                <c:pt idx="0">
                  <c:v>168.34024358345198</c:v>
                </c:pt>
                <c:pt idx="1">
                  <c:v>167.8072186870003</c:v>
                </c:pt>
                <c:pt idx="2">
                  <c:v>167.2514201033963</c:v>
                </c:pt>
                <c:pt idx="3">
                  <c:v>166.67209879347999</c:v>
                </c:pt>
                <c:pt idx="4">
                  <c:v>166.06851278327176</c:v>
                </c:pt>
                <c:pt idx="5">
                  <c:v>165.43993244757155</c:v>
                </c:pt>
                <c:pt idx="6">
                  <c:v>164.78564648191653</c:v>
                </c:pt>
                <c:pt idx="7">
                  <c:v>164.10496860067869</c:v>
                </c:pt>
                <c:pt idx="8">
                  <c:v>163.39724499135167</c:v>
                </c:pt>
                <c:pt idx="9">
                  <c:v>162.6618625444259</c:v>
                </c:pt>
                <c:pt idx="10">
                  <c:v>161.89825786423509</c:v>
                </c:pt>
                <c:pt idx="11">
                  <c:v>161.10592704837924</c:v>
                </c:pt>
                <c:pt idx="12">
                  <c:v>160.28443620144503</c:v>
                </c:pt>
                <c:pt idx="13">
                  <c:v>159.43343262257576</c:v>
                </c:pt>
                <c:pt idx="14">
                  <c:v>158.55265657589658</c:v>
                </c:pt>
                <c:pt idx="15">
                  <c:v>157.6419535181397</c:v>
                </c:pt>
                <c:pt idx="16">
                  <c:v>156.70128661950611</c:v>
                </c:pt>
                <c:pt idx="17">
                  <c:v>155.73074937275567</c:v>
                </c:pt>
                <c:pt idx="18">
                  <c:v>154.73057804307547</c:v>
                </c:pt>
                <c:pt idx="19">
                  <c:v>153.7011636692236</c:v>
                </c:pt>
                <c:pt idx="20">
                  <c:v>152.64306328709932</c:v>
                </c:pt>
                <c:pt idx="21">
                  <c:v>151.55701001300079</c:v>
                </c:pt>
                <c:pt idx="22">
                  <c:v>150.44392159848752</c:v>
                </c:pt>
                <c:pt idx="23">
                  <c:v>149.30490705531409</c:v>
                </c:pt>
                <c:pt idx="24">
                  <c:v>148.14127095058336</c:v>
                </c:pt>
                <c:pt idx="25">
                  <c:v>146.95451499208892</c:v>
                </c:pt>
                <c:pt idx="26">
                  <c:v>145.74633656401431</c:v>
                </c:pt>
                <c:pt idx="27">
                  <c:v>144.51862393504669</c:v>
                </c:pt>
                <c:pt idx="28">
                  <c:v>143.27344794438486</c:v>
                </c:pt>
                <c:pt idx="29">
                  <c:v>142.01305007436176</c:v>
                </c:pt>
                <c:pt idx="30">
                  <c:v>140.7398269378848</c:v>
                </c:pt>
                <c:pt idx="31">
                  <c:v>139.45631133936706</c:v>
                </c:pt>
                <c:pt idx="32">
                  <c:v>138.16515020240732</c:v>
                </c:pt>
                <c:pt idx="33">
                  <c:v>136.86907978831644</c:v>
                </c:pt>
                <c:pt idx="34">
                  <c:v>135.57089874825292</c:v>
                </c:pt>
                <c:pt idx="35">
                  <c:v>134.27343965014938</c:v>
                </c:pt>
                <c:pt idx="36">
                  <c:v>132.97953969276233</c:v>
                </c:pt>
                <c:pt idx="37">
                  <c:v>131.69201135774625</c:v>
                </c:pt>
                <c:pt idx="38">
                  <c:v>130.41361375384449</c:v>
                </c:pt>
                <c:pt idx="39">
                  <c:v>129.14702537473605</c:v>
                </c:pt>
                <c:pt idx="40">
                  <c:v>127.89481892636228</c:v>
                </c:pt>
                <c:pt idx="41">
                  <c:v>126.65943878542753</c:v>
                </c:pt>
                <c:pt idx="42">
                  <c:v>125.44318153511657</c:v>
                </c:pt>
                <c:pt idx="43">
                  <c:v>124.24817989476433</c:v>
                </c:pt>
                <c:pt idx="44">
                  <c:v>123.07639022569707</c:v>
                </c:pt>
                <c:pt idx="45">
                  <c:v>121.92958366379607</c:v>
                </c:pt>
                <c:pt idx="46">
                  <c:v>120.80934080747355</c:v>
                </c:pt>
                <c:pt idx="47">
                  <c:v>119.71704978343041</c:v>
                </c:pt>
                <c:pt idx="48">
                  <c:v>118.65390742548438</c:v>
                </c:pt>
                <c:pt idx="49">
                  <c:v>117.6209232360911</c:v>
                </c:pt>
                <c:pt idx="50">
                  <c:v>116.61892575625906</c:v>
                </c:pt>
                <c:pt idx="51">
                  <c:v>115.64857094633881</c:v>
                </c:pt>
                <c:pt idx="52">
                  <c:v>114.71035217552591</c:v>
                </c:pt>
                <c:pt idx="53">
                  <c:v>113.80461142898261</c:v>
                </c:pt>
                <c:pt idx="54">
                  <c:v>112.93155136500491</c:v>
                </c:pt>
                <c:pt idx="55">
                  <c:v>112.09124788731057</c:v>
                </c:pt>
                <c:pt idx="56">
                  <c:v>111.28366293614692</c:v>
                </c:pt>
                <c:pt idx="57">
                  <c:v>110.50865724369746</c:v>
                </c:pt>
                <c:pt idx="58">
                  <c:v>109.76600284180299</c:v>
                </c:pt>
                <c:pt idx="59">
                  <c:v>109.0553951514372</c:v>
                </c:pt>
                <c:pt idx="60">
                  <c:v>108.3764645222507</c:v>
                </c:pt>
                <c:pt idx="61">
                  <c:v>107.72878712587449</c:v>
                </c:pt>
                <c:pt idx="62">
                  <c:v>107.11189513797365</c:v>
                </c:pt>
                <c:pt idx="63">
                  <c:v>106.52528617100329</c:v>
                </c:pt>
                <c:pt idx="64">
                  <c:v>105.96843194226138</c:v>
                </c:pt>
                <c:pt idx="65">
                  <c:v>105.44078618031948</c:v>
                </c:pt>
                <c:pt idx="66">
                  <c:v>104.94179178758458</c:v>
                </c:pt>
                <c:pt idx="67">
                  <c:v>104.47088728796739</c:v>
                </c:pt>
                <c:pt idx="68">
                  <c:v>104.02751259685112</c:v>
                </c:pt>
                <c:pt idx="69">
                  <c:v>103.61111415620938</c:v>
                </c:pt>
                <c:pt idx="70">
                  <c:v>103.22114948121721</c:v>
                </c:pt>
                <c:pt idx="71">
                  <c:v>102.85709116645407</c:v>
                </c:pt>
                <c:pt idx="72">
                  <c:v>102.5184304001363</c:v>
                </c:pt>
                <c:pt idx="73">
                  <c:v>102.20468003409033</c:v>
                </c:pt>
                <c:pt idx="74">
                  <c:v>101.91537725560997</c:v>
                </c:pt>
                <c:pt idx="75">
                  <c:v>101.65008590520303</c:v>
                </c:pt>
                <c:pt idx="76">
                  <c:v>101.408398481681</c:v>
                </c:pt>
                <c:pt idx="77">
                  <c:v>101.1899378732389</c:v>
                </c:pt>
                <c:pt idx="78">
                  <c:v>100.99435885024275</c:v>
                </c:pt>
                <c:pt idx="79">
                  <c:v>100.82134935246884</c:v>
                </c:pt>
                <c:pt idx="80">
                  <c:v>100.67063160059246</c:v>
                </c:pt>
                <c:pt idx="81">
                  <c:v>100.54196305886603</c:v>
                </c:pt>
                <c:pt idx="82">
                  <c:v>100.43513727317799</c:v>
                </c:pt>
                <c:pt idx="83">
                  <c:v>100.34998460607729</c:v>
                </c:pt>
                <c:pt idx="84">
                  <c:v>100.28637288788397</c:v>
                </c:pt>
                <c:pt idx="85">
                  <c:v>100.24420800069903</c:v>
                </c:pt>
                <c:pt idx="86">
                  <c:v>100.22343440996767</c:v>
                </c:pt>
                <c:pt idx="87">
                  <c:v>100.22403565622479</c:v>
                </c:pt>
                <c:pt idx="88">
                  <c:v>100.2460348177628</c:v>
                </c:pt>
                <c:pt idx="89">
                  <c:v>100.28949495318084</c:v>
                </c:pt>
                <c:pt idx="90">
                  <c:v>100.35451953109315</c:v>
                </c:pt>
                <c:pt idx="91">
                  <c:v>100.44125285267241</c:v>
                </c:pt>
                <c:pt idx="92">
                  <c:v>100.54988047115579</c:v>
                </c:pt>
                <c:pt idx="93">
                  <c:v>100.68062961094144</c:v>
                </c:pt>
                <c:pt idx="94">
                  <c:v>100.8337695874085</c:v>
                </c:pt>
                <c:pt idx="95">
                  <c:v>101.00961222710856</c:v>
                </c:pt>
                <c:pt idx="96">
                  <c:v>101.20851228644744</c:v>
                </c:pt>
                <c:pt idx="97">
                  <c:v>101.43086786541187</c:v>
                </c:pt>
                <c:pt idx="98">
                  <c:v>101.67712081124964</c:v>
                </c:pt>
                <c:pt idx="99">
                  <c:v>101.94775710526396</c:v>
                </c:pt>
                <c:pt idx="100">
                  <c:v>102.24330722401358</c:v>
                </c:pt>
                <c:pt idx="101">
                  <c:v>102.56434646419446</c:v>
                </c:pt>
                <c:pt idx="102">
                  <c:v>102.91149521827739</c:v>
                </c:pt>
                <c:pt idx="103">
                  <c:v>103.28541918557396</c:v>
                </c:pt>
                <c:pt idx="104">
                  <c:v>103.68682950077721</c:v>
                </c:pt>
                <c:pt idx="105">
                  <c:v>104.11648275912766</c:v>
                </c:pt>
                <c:pt idx="106">
                  <c:v>104.57518091419095</c:v>
                </c:pt>
                <c:pt idx="107">
                  <c:v>105.06377102075766</c:v>
                </c:pt>
                <c:pt idx="108">
                  <c:v>105.58314479157484</c:v>
                </c:pt>
                <c:pt idx="109">
                  <c:v>106.13423793248811</c:v>
                </c:pt>
                <c:pt idx="110">
                  <c:v>106.71802921609049</c:v>
                </c:pt>
                <c:pt idx="111">
                  <c:v>107.33553924914916</c:v>
                </c:pt>
                <c:pt idx="112">
                  <c:v>107.98782888394022</c:v>
                </c:pt>
                <c:pt idx="113">
                  <c:v>108.67599721816867</c:v>
                </c:pt>
                <c:pt idx="114">
                  <c:v>109.40117912247059</c:v>
                </c:pt>
                <c:pt idx="115">
                  <c:v>110.16454222866055</c:v>
                </c:pt>
                <c:pt idx="116">
                  <c:v>110.96728330598047</c:v>
                </c:pt>
                <c:pt idx="117">
                  <c:v>111.81062394684257</c:v>
                </c:pt>
                <c:pt idx="118">
                  <c:v>112.69580547807297</c:v>
                </c:pt>
                <c:pt idx="119">
                  <c:v>113.62408300877604</c:v>
                </c:pt>
                <c:pt idx="120">
                  <c:v>114.59671852191164</c:v>
                </c:pt>
                <c:pt idx="121">
                  <c:v>115.61497291397723</c:v>
                </c:pt>
                <c:pt idx="122">
                  <c:v>116.68009688621413</c:v>
                </c:pt>
                <c:pt idx="123">
                  <c:v>117.7933205921435</c:v>
                </c:pt>
                <c:pt idx="124">
                  <c:v>118.95584195059105</c:v>
                </c:pt>
                <c:pt idx="125">
                  <c:v>120.16881354141053</c:v>
                </c:pt>
                <c:pt idx="126">
                  <c:v>121.43332801371665</c:v>
                </c:pt>
                <c:pt idx="127">
                  <c:v>122.75040195436291</c:v>
                </c:pt>
                <c:pt idx="128">
                  <c:v>124.12095818861398</c:v>
                </c:pt>
                <c:pt idx="129">
                  <c:v>125.54580651623347</c:v>
                </c:pt>
                <c:pt idx="130">
                  <c:v>127.0256229253273</c:v>
                </c:pt>
                <c:pt idx="131">
                  <c:v>128.56092737380573</c:v>
                </c:pt>
                <c:pt idx="132">
                  <c:v>130.1520602845132</c:v>
                </c:pt>
                <c:pt idx="133">
                  <c:v>131.79915796484741</c:v>
                </c:pt>
                <c:pt idx="134">
                  <c:v>133.50212723430596</c:v>
                </c:pt>
                <c:pt idx="135">
                  <c:v>135.26061962258322</c:v>
                </c:pt>
                <c:pt idx="136">
                  <c:v>137.07400558435461</c:v>
                </c:pt>
                <c:pt idx="137">
                  <c:v>138.94134926171148</c:v>
                </c:pt>
                <c:pt idx="138">
                  <c:v>140.86138440723778</c:v>
                </c:pt>
                <c:pt idx="139">
                  <c:v>142.83249215498046</c:v>
                </c:pt>
                <c:pt idx="140">
                  <c:v>144.8526813871747</c:v>
                </c:pt>
                <c:pt idx="141">
                  <c:v>146.91957248517414</c:v>
                </c:pt>
                <c:pt idx="142">
                  <c:v>149.03038526688366</c:v>
                </c:pt>
                <c:pt idx="143">
                  <c:v>151.1819318938295</c:v>
                </c:pt>
                <c:pt idx="144">
                  <c:v>153.3706154734235</c:v>
                </c:pt>
                <c:pt idx="145">
                  <c:v>155.59243498224635</c:v>
                </c:pt>
                <c:pt idx="146">
                  <c:v>157.84299699296341</c:v>
                </c:pt>
                <c:pt idx="147">
                  <c:v>160.11753450240752</c:v>
                </c:pt>
                <c:pt idx="148">
                  <c:v>162.41093293655072</c:v>
                </c:pt>
                <c:pt idx="149">
                  <c:v>164.71776315812724</c:v>
                </c:pt>
                <c:pt idx="150">
                  <c:v>167.03232103666863</c:v>
                </c:pt>
                <c:pt idx="151">
                  <c:v>169.34867287327401</c:v>
                </c:pt>
                <c:pt idx="152">
                  <c:v>171.66070572000865</c:v>
                </c:pt>
                <c:pt idx="153">
                  <c:v>173.96218141297194</c:v>
                </c:pt>
                <c:pt idx="154">
                  <c:v>176.24679296425984</c:v>
                </c:pt>
                <c:pt idx="155">
                  <c:v>178.50822184377932</c:v>
                </c:pt>
                <c:pt idx="156">
                  <c:v>180.74019463572438</c:v>
                </c:pt>
                <c:pt idx="157">
                  <c:v>182.93653757991737</c:v>
                </c:pt>
                <c:pt idx="158">
                  <c:v>185.09122760324291</c:v>
                </c:pt>
                <c:pt idx="159">
                  <c:v>187.19843860396281</c:v>
                </c:pt>
                <c:pt idx="160">
                  <c:v>189.25258196025172</c:v>
                </c:pt>
                <c:pt idx="161">
                  <c:v>191.2483404791567</c:v>
                </c:pt>
                <c:pt idx="162">
                  <c:v>193.1806952669173</c:v>
                </c:pt>
                <c:pt idx="163">
                  <c:v>195.04494526969691</c:v>
                </c:pt>
                <c:pt idx="164">
                  <c:v>196.83671948995905</c:v>
                </c:pt>
                <c:pt idx="165">
                  <c:v>198.55198211526505</c:v>
                </c:pt>
                <c:pt idx="166">
                  <c:v>200.18703099354133</c:v>
                </c:pt>
                <c:pt idx="167">
                  <c:v>201.73849004593433</c:v>
                </c:pt>
                <c:pt idx="168">
                  <c:v>203.20329632275596</c:v>
                </c:pt>
                <c:pt idx="169">
                  <c:v>204.57868248050249</c:v>
                </c:pt>
                <c:pt idx="170">
                  <c:v>205.86215549183467</c:v>
                </c:pt>
                <c:pt idx="171">
                  <c:v>207.05147240104046</c:v>
                </c:pt>
                <c:pt idx="172">
                  <c:v>208.14461391134088</c:v>
                </c:pt>
                <c:pt idx="173">
                  <c:v>209.13975654450945</c:v>
                </c:pt>
                <c:pt idx="174">
                  <c:v>210.03524405474519</c:v>
                </c:pt>
                <c:pt idx="175">
                  <c:v>210.82955871423553</c:v>
                </c:pt>
                <c:pt idx="176">
                  <c:v>211.52129302343943</c:v>
                </c:pt>
                <c:pt idx="177">
                  <c:v>212.10912234003973</c:v>
                </c:pt>
                <c:pt idx="178">
                  <c:v>212.59177887116331</c:v>
                </c:pt>
                <c:pt idx="179">
                  <c:v>212.96802743748222</c:v>
                </c:pt>
                <c:pt idx="180">
                  <c:v>213.23664339804293</c:v>
                </c:pt>
                <c:pt idx="181">
                  <c:v>213.39639312335842</c:v>
                </c:pt>
                <c:pt idx="182">
                  <c:v>213.4460174231105</c:v>
                </c:pt>
                <c:pt idx="183">
                  <c:v>213.38421837471935</c:v>
                </c:pt>
                <c:pt idx="184">
                  <c:v>213.20965006047737</c:v>
                </c:pt>
                <c:pt idx="185">
                  <c:v>212.92091380328429</c:v>
                </c:pt>
                <c:pt idx="186">
                  <c:v>212.51655859250212</c:v>
                </c:pt>
                <c:pt idx="187">
                  <c:v>211.99508750837938</c:v>
                </c:pt>
                <c:pt idx="188">
                  <c:v>211.35497107958241</c:v>
                </c:pt>
                <c:pt idx="189">
                  <c:v>210.59466863377568</c:v>
                </c:pt>
                <c:pt idx="190">
                  <c:v>209.71265881107101</c:v>
                </c:pt>
                <c:pt idx="191">
                  <c:v>208.70748048360232</c:v>
                </c:pt>
                <c:pt idx="192">
                  <c:v>207.57778533305643</c:v>
                </c:pt>
                <c:pt idx="193">
                  <c:v>206.32240324485417</c:v>
                </c:pt>
                <c:pt idx="194">
                  <c:v>204.94042143786771</c:v>
                </c:pt>
                <c:pt idx="195">
                  <c:v>203.43127781053059</c:v>
                </c:pt>
                <c:pt idx="196">
                  <c:v>201.79486829462593</c:v>
                </c:pt>
                <c:pt idx="197">
                  <c:v>200.03166702003054</c:v>
                </c:pt>
                <c:pt idx="198">
                  <c:v>198.14285677988875</c:v>
                </c:pt>
                <c:pt idx="199">
                  <c:v>196.13046565610372</c:v>
                </c:pt>
                <c:pt idx="200">
                  <c:v>193.99750378818413</c:v>
                </c:pt>
                <c:pt idx="201">
                  <c:v>191.74809229216851</c:v>
                </c:pt>
                <c:pt idx="202">
                  <c:v>189.38757450118564</c:v>
                </c:pt>
                <c:pt idx="203">
                  <c:v>186.92259833551063</c:v>
                </c:pt>
                <c:pt idx="204">
                  <c:v>184.36115810813087</c:v>
                </c:pt>
                <c:pt idx="205">
                  <c:v>181.71258481902291</c:v>
                </c:pt>
                <c:pt idx="206">
                  <c:v>178.98747627711629</c:v>
                </c:pt>
                <c:pt idx="207">
                  <c:v>176.19756229532859</c:v>
                </c:pt>
                <c:pt idx="208">
                  <c:v>173.35550551120147</c:v>
                </c:pt>
                <c:pt idx="209">
                  <c:v>170.47464453304693</c:v>
                </c:pt>
                <c:pt idx="210">
                  <c:v>167.5686922478877</c:v>
                </c:pt>
                <c:pt idx="211">
                  <c:v>164.65140726028383</c:v>
                </c:pt>
                <c:pt idx="212">
                  <c:v>161.73625964698465</c:v>
                </c:pt>
                <c:pt idx="213">
                  <c:v>158.83611290670802</c:v>
                </c:pt>
                <c:pt idx="214">
                  <c:v>155.96294202395077</c:v>
                </c:pt>
                <c:pt idx="215">
                  <c:v>153.12760332528288</c:v>
                </c:pt>
                <c:pt idx="216">
                  <c:v>150.33966606641584</c:v>
                </c:pt>
                <c:pt idx="217">
                  <c:v>147.60730943000982</c:v>
                </c:pt>
                <c:pt idx="218">
                  <c:v>144.9372827862278</c:v>
                </c:pt>
                <c:pt idx="219">
                  <c:v>142.33492239355391</c:v>
                </c:pt>
                <c:pt idx="220">
                  <c:v>139.80421459231141</c:v>
                </c:pt>
                <c:pt idx="221">
                  <c:v>137.34789403201441</c:v>
                </c:pt>
                <c:pt idx="222">
                  <c:v>134.96756538019903</c:v>
                </c:pt>
                <c:pt idx="223">
                  <c:v>132.66383793445908</c:v>
                </c:pt>
                <c:pt idx="224">
                  <c:v>130.43646420237368</c:v>
                </c:pt>
                <c:pt idx="225">
                  <c:v>128.2844754587168</c:v>
                </c:pt>
                <c:pt idx="226">
                  <c:v>126.20630924708841</c:v>
                </c:pt>
                <c:pt idx="227">
                  <c:v>124.19992556903181</c:v>
                </c:pt>
                <c:pt idx="228">
                  <c:v>122.26290999065459</c:v>
                </c:pt>
                <c:pt idx="229">
                  <c:v>120.39256305718075</c:v>
                </c:pt>
                <c:pt idx="230">
                  <c:v>118.58597625017553</c:v>
                </c:pt>
                <c:pt idx="231">
                  <c:v>116.84009528896337</c:v>
                </c:pt>
                <c:pt idx="232">
                  <c:v>115.15177191809155</c:v>
                </c:pt>
                <c:pt idx="233">
                  <c:v>113.51780548953367</c:v>
                </c:pt>
                <c:pt idx="234">
                  <c:v>111.93497568999925</c:v>
                </c:pt>
                <c:pt idx="235">
                  <c:v>110.40006772096073</c:v>
                </c:pt>
                <c:pt idx="236">
                  <c:v>108.90989114390069</c:v>
                </c:pt>
                <c:pt idx="237">
                  <c:v>107.46129347992671</c:v>
                </c:pt>
                <c:pt idx="238">
                  <c:v>106.05116951834735</c:v>
                </c:pt>
                <c:pt idx="239">
                  <c:v>104.67646715450348</c:v>
                </c:pt>
                <c:pt idx="240">
                  <c:v>103.33419045031364</c:v>
                </c:pt>
                <c:pt idx="241">
                  <c:v>102.02140049560381</c:v>
                </c:pt>
                <c:pt idx="242">
                  <c:v>100.73521454621921</c:v>
                </c:pt>
                <c:pt idx="243">
                  <c:v>99.472803826540911</c:v>
                </c:pt>
                <c:pt idx="244">
                  <c:v>98.231390308817467</c:v>
                </c:pt>
                <c:pt idx="245">
                  <c:v>97.008242718649228</c:v>
                </c:pt>
                <c:pt idx="246">
                  <c:v>95.800671963724298</c:v>
                </c:pt>
                <c:pt idx="247">
                  <c:v>94.606026140169249</c:v>
                </c:pt>
                <c:pt idx="248">
                  <c:v>93.42168523630248</c:v>
                </c:pt>
                <c:pt idx="249">
                  <c:v>92.245055625986595</c:v>
                </c:pt>
                <c:pt idx="250">
                  <c:v>91.073564422097022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9D-4CAA-AD7F-ABBD88A0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268630223"/>
        <c:scaling>
          <c:logBase val="10"/>
          <c:orientation val="minMax"/>
          <c:max val="10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Frequency - Hz</a:t>
                </a:r>
              </a:p>
            </c:rich>
          </c:tx>
          <c:layout>
            <c:manualLayout>
              <c:xMode val="edge"/>
              <c:yMode val="edge"/>
              <c:x val="0.39805876207221669"/>
              <c:y val="0.804416403785488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100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Gain - dB</a:t>
                </a:r>
              </a:p>
            </c:rich>
          </c:tx>
          <c:layout>
            <c:manualLayout>
              <c:xMode val="edge"/>
              <c:yMode val="edge"/>
              <c:x val="3.8834951456310676E-2"/>
              <c:y val="0.3753943217665615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8630223"/>
        <c:crosses val="autoZero"/>
        <c:crossBetween val="midCat"/>
        <c:majorUnit val="10"/>
        <c:minorUnit val="2"/>
      </c:valAx>
      <c:valAx>
        <c:axId val="3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6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Phase - °</a:t>
                </a:r>
              </a:p>
            </c:rich>
          </c:tx>
          <c:layout>
            <c:manualLayout>
              <c:xMode val="edge"/>
              <c:yMode val="edge"/>
              <c:x val="0.91262237851336536"/>
              <c:y val="0.375394321766561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midCat"/>
        <c:majorUnit val="4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524274392885355"/>
          <c:y val="0.90851735015772872"/>
          <c:w val="0.49514614071299334"/>
          <c:h val="6.94006309148265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Total System Bode</a:t>
            </a:r>
          </a:p>
        </c:rich>
      </c:tx>
      <c:layout>
        <c:manualLayout>
          <c:xMode val="edge"/>
          <c:yMode val="edge"/>
          <c:x val="0.33689839572192515"/>
          <c:y val="3.47003154574132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05882352941177"/>
          <c:y val="0.17981072555205047"/>
          <c:w val="0.70855614973262027"/>
          <c:h val="0.56466876971608837"/>
        </c:manualLayout>
      </c:layout>
      <c:scatterChart>
        <c:scatterStyle val="smoothMarker"/>
        <c:varyColors val="0"/>
        <c:ser>
          <c:idx val="0"/>
          <c:order val="0"/>
          <c:tx>
            <c:v>Gain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'Input and Results'!$C$80:$C$330</c:f>
              <c:numCache>
                <c:formatCode>0.00</c:formatCode>
                <c:ptCount val="251"/>
                <c:pt idx="0" formatCode="General">
                  <c:v>10</c:v>
                </c:pt>
                <c:pt idx="1">
                  <c:v>10.471285480509</c:v>
                </c:pt>
                <c:pt idx="2">
                  <c:v>10.964781961431854</c:v>
                </c:pt>
                <c:pt idx="3">
                  <c:v>11.481536214968834</c:v>
                </c:pt>
                <c:pt idx="4">
                  <c:v>12.022644346174133</c:v>
                </c:pt>
                <c:pt idx="5">
                  <c:v>12.58925411794168</c:v>
                </c:pt>
                <c:pt idx="6">
                  <c:v>13.182567385564075</c:v>
                </c:pt>
                <c:pt idx="7">
                  <c:v>13.803842646028857</c:v>
                </c:pt>
                <c:pt idx="8">
                  <c:v>14.454397707459282</c:v>
                </c:pt>
                <c:pt idx="9">
                  <c:v>15.135612484362092</c:v>
                </c:pt>
                <c:pt idx="10">
                  <c:v>15.848931924611144</c:v>
                </c:pt>
                <c:pt idx="11">
                  <c:v>16.595869074375621</c:v>
                </c:pt>
                <c:pt idx="12">
                  <c:v>17.378008287493763</c:v>
                </c:pt>
                <c:pt idx="13">
                  <c:v>18.197008586099848</c:v>
                </c:pt>
                <c:pt idx="14">
                  <c:v>19.054607179632484</c:v>
                </c:pt>
                <c:pt idx="15">
                  <c:v>19.952623149688815</c:v>
                </c:pt>
                <c:pt idx="16">
                  <c:v>20.892961308540418</c:v>
                </c:pt>
                <c:pt idx="17">
                  <c:v>21.877616239495548</c:v>
                </c:pt>
                <c:pt idx="18">
                  <c:v>22.908676527677759</c:v>
                </c:pt>
                <c:pt idx="19">
                  <c:v>23.988329190194928</c:v>
                </c:pt>
                <c:pt idx="20">
                  <c:v>25.118864315095834</c:v>
                </c:pt>
                <c:pt idx="21">
                  <c:v>26.302679918953849</c:v>
                </c:pt>
                <c:pt idx="22">
                  <c:v>27.542287033381701</c:v>
                </c:pt>
                <c:pt idx="23">
                  <c:v>28.840315031266094</c:v>
                </c:pt>
                <c:pt idx="24">
                  <c:v>30.199517204020204</c:v>
                </c:pt>
                <c:pt idx="25">
                  <c:v>31.622776601683832</c:v>
                </c:pt>
                <c:pt idx="26">
                  <c:v>33.113112148259155</c:v>
                </c:pt>
                <c:pt idx="27">
                  <c:v>34.673685045253208</c:v>
                </c:pt>
                <c:pt idx="28">
                  <c:v>36.307805477010191</c:v>
                </c:pt>
                <c:pt idx="29">
                  <c:v>38.018939632056167</c:v>
                </c:pt>
                <c:pt idx="30">
                  <c:v>39.810717055349791</c:v>
                </c:pt>
                <c:pt idx="31">
                  <c:v>41.686938347033596</c:v>
                </c:pt>
                <c:pt idx="32">
                  <c:v>43.651583224016669</c:v>
                </c:pt>
                <c:pt idx="33">
                  <c:v>45.708818961487587</c:v>
                </c:pt>
                <c:pt idx="34">
                  <c:v>47.86300923226392</c:v>
                </c:pt>
                <c:pt idx="35">
                  <c:v>50.11872336272733</c:v>
                </c:pt>
                <c:pt idx="36">
                  <c:v>52.48074602497735</c:v>
                </c:pt>
                <c:pt idx="37">
                  <c:v>54.95408738576257</c:v>
                </c:pt>
                <c:pt idx="38">
                  <c:v>57.543993733715801</c:v>
                </c:pt>
                <c:pt idx="39">
                  <c:v>60.255958607435872</c:v>
                </c:pt>
                <c:pt idx="40">
                  <c:v>63.095734448019471</c:v>
                </c:pt>
                <c:pt idx="41">
                  <c:v>66.069344800759737</c:v>
                </c:pt>
                <c:pt idx="42">
                  <c:v>69.183097091893785</c:v>
                </c:pt>
                <c:pt idx="43">
                  <c:v>72.443596007499139</c:v>
                </c:pt>
                <c:pt idx="44">
                  <c:v>75.85775750291856</c:v>
                </c:pt>
                <c:pt idx="45">
                  <c:v>79.432823472428325</c:v>
                </c:pt>
                <c:pt idx="46">
                  <c:v>83.176377110267268</c:v>
                </c:pt>
                <c:pt idx="47">
                  <c:v>87.096358995608313</c:v>
                </c:pt>
                <c:pt idx="48">
                  <c:v>91.201083935591214</c:v>
                </c:pt>
                <c:pt idx="49">
                  <c:v>95.499258602143826</c:v>
                </c:pt>
                <c:pt idx="50">
                  <c:v>100.00000000000023</c:v>
                </c:pt>
                <c:pt idx="51">
                  <c:v>104.71285480509026</c:v>
                </c:pt>
                <c:pt idx="52">
                  <c:v>109.64781961431881</c:v>
                </c:pt>
                <c:pt idx="53">
                  <c:v>114.81536214968857</c:v>
                </c:pt>
                <c:pt idx="54">
                  <c:v>120.22644346174157</c:v>
                </c:pt>
                <c:pt idx="55">
                  <c:v>125.89254117941711</c:v>
                </c:pt>
                <c:pt idx="56">
                  <c:v>131.82567385564107</c:v>
                </c:pt>
                <c:pt idx="57">
                  <c:v>138.03842646028886</c:v>
                </c:pt>
                <c:pt idx="58">
                  <c:v>144.5439770745931</c:v>
                </c:pt>
                <c:pt idx="59">
                  <c:v>151.3561248436213</c:v>
                </c:pt>
                <c:pt idx="60">
                  <c:v>158.48931924611182</c:v>
                </c:pt>
                <c:pt idx="61">
                  <c:v>165.95869074375653</c:v>
                </c:pt>
                <c:pt idx="62">
                  <c:v>173.78008287493799</c:v>
                </c:pt>
                <c:pt idx="63">
                  <c:v>181.97008586099895</c:v>
                </c:pt>
                <c:pt idx="64">
                  <c:v>190.54607179632529</c:v>
                </c:pt>
                <c:pt idx="65">
                  <c:v>199.52623149688853</c:v>
                </c:pt>
                <c:pt idx="66">
                  <c:v>208.9296130854047</c:v>
                </c:pt>
                <c:pt idx="67">
                  <c:v>218.776162394956</c:v>
                </c:pt>
                <c:pt idx="68">
                  <c:v>229.08676527677804</c:v>
                </c:pt>
                <c:pt idx="69">
                  <c:v>239.88329190194978</c:v>
                </c:pt>
                <c:pt idx="70">
                  <c:v>251.18864315095894</c:v>
                </c:pt>
                <c:pt idx="71">
                  <c:v>263.02679918953913</c:v>
                </c:pt>
                <c:pt idx="72">
                  <c:v>275.42287033381757</c:v>
                </c:pt>
                <c:pt idx="73">
                  <c:v>288.40315031266152</c:v>
                </c:pt>
                <c:pt idx="74">
                  <c:v>301.99517204020276</c:v>
                </c:pt>
                <c:pt idx="75">
                  <c:v>316.2277660168391</c:v>
                </c:pt>
                <c:pt idx="76">
                  <c:v>331.13112148259222</c:v>
                </c:pt>
                <c:pt idx="77">
                  <c:v>346.73685045253279</c:v>
                </c:pt>
                <c:pt idx="78">
                  <c:v>363.07805477010277</c:v>
                </c:pt>
                <c:pt idx="79">
                  <c:v>380.18939632056265</c:v>
                </c:pt>
                <c:pt idx="80">
                  <c:v>398.10717055349869</c:v>
                </c:pt>
                <c:pt idx="81">
                  <c:v>416.8693834703372</c:v>
                </c:pt>
                <c:pt idx="82">
                  <c:v>436.51583224016775</c:v>
                </c:pt>
                <c:pt idx="83">
                  <c:v>457.0881896148768</c:v>
                </c:pt>
                <c:pt idx="84">
                  <c:v>478.63009232264011</c:v>
                </c:pt>
                <c:pt idx="85">
                  <c:v>501.18723362727451</c:v>
                </c:pt>
                <c:pt idx="86">
                  <c:v>524.80746024977486</c:v>
                </c:pt>
                <c:pt idx="87">
                  <c:v>549.54087385762671</c:v>
                </c:pt>
                <c:pt idx="88">
                  <c:v>575.43993733715911</c:v>
                </c:pt>
                <c:pt idx="89">
                  <c:v>602.55958607436048</c:v>
                </c:pt>
                <c:pt idx="90">
                  <c:v>630.95734448019596</c:v>
                </c:pt>
                <c:pt idx="91">
                  <c:v>660.6934480075987</c:v>
                </c:pt>
                <c:pt idx="92">
                  <c:v>691.83097091893922</c:v>
                </c:pt>
                <c:pt idx="93">
                  <c:v>724.43596007499343</c:v>
                </c:pt>
                <c:pt idx="94">
                  <c:v>758.57757502918719</c:v>
                </c:pt>
                <c:pt idx="95">
                  <c:v>794.32823472428493</c:v>
                </c:pt>
                <c:pt idx="96">
                  <c:v>831.76377110267515</c:v>
                </c:pt>
                <c:pt idx="97">
                  <c:v>870.96358995608477</c:v>
                </c:pt>
                <c:pt idx="98">
                  <c:v>912.01083935591396</c:v>
                </c:pt>
                <c:pt idx="99">
                  <c:v>954.99258602144016</c:v>
                </c:pt>
                <c:pt idx="100" formatCode="General">
                  <c:v>1000.0000000000051</c:v>
                </c:pt>
                <c:pt idx="101" formatCode="0">
                  <c:v>1047.1285480509046</c:v>
                </c:pt>
                <c:pt idx="102" formatCode="0">
                  <c:v>1096.4781961431902</c:v>
                </c:pt>
                <c:pt idx="103" formatCode="0">
                  <c:v>1148.153621496888</c:v>
                </c:pt>
                <c:pt idx="104" formatCode="0">
                  <c:v>1202.2644346174193</c:v>
                </c:pt>
                <c:pt idx="105" formatCode="0">
                  <c:v>1258.9254117941734</c:v>
                </c:pt>
                <c:pt idx="106" formatCode="0">
                  <c:v>1318.2567385564134</c:v>
                </c:pt>
                <c:pt idx="107" formatCode="0">
                  <c:v>1380.3842646028913</c:v>
                </c:pt>
                <c:pt idx="108" formatCode="0">
                  <c:v>1445.4397707459352</c:v>
                </c:pt>
                <c:pt idx="109" formatCode="0">
                  <c:v>1513.5612484362159</c:v>
                </c:pt>
                <c:pt idx="110" formatCode="0">
                  <c:v>1584.8931924611213</c:v>
                </c:pt>
                <c:pt idx="111" formatCode="0">
                  <c:v>1659.5869074375701</c:v>
                </c:pt>
                <c:pt idx="112" formatCode="0">
                  <c:v>1737.8008287493849</c:v>
                </c:pt>
                <c:pt idx="113" formatCode="0">
                  <c:v>1819.700858609993</c:v>
                </c:pt>
                <c:pt idx="114" formatCode="0">
                  <c:v>1905.4607179632569</c:v>
                </c:pt>
                <c:pt idx="115" formatCode="0">
                  <c:v>1995.2623149688911</c:v>
                </c:pt>
                <c:pt idx="116" formatCode="0">
                  <c:v>2089.2961308540512</c:v>
                </c:pt>
                <c:pt idx="117" formatCode="0">
                  <c:v>2187.7616239495642</c:v>
                </c:pt>
                <c:pt idx="118" formatCode="0">
                  <c:v>2290.8676527677849</c:v>
                </c:pt>
                <c:pt idx="119" formatCode="0">
                  <c:v>2398.8329190195045</c:v>
                </c:pt>
                <c:pt idx="120" formatCode="0">
                  <c:v>2511.8864315095943</c:v>
                </c:pt>
                <c:pt idx="121" formatCode="0">
                  <c:v>2630.2679918953963</c:v>
                </c:pt>
                <c:pt idx="122" formatCode="0">
                  <c:v>2754.2287033381813</c:v>
                </c:pt>
                <c:pt idx="123" formatCode="0">
                  <c:v>2884.0315031266232</c:v>
                </c:pt>
                <c:pt idx="124" formatCode="0">
                  <c:v>3019.951720402034</c:v>
                </c:pt>
                <c:pt idx="125" formatCode="0">
                  <c:v>3162.2776601683972</c:v>
                </c:pt>
                <c:pt idx="126" formatCode="0">
                  <c:v>3311.3112148259288</c:v>
                </c:pt>
                <c:pt idx="127" formatCode="0">
                  <c:v>3467.3685045253346</c:v>
                </c:pt>
                <c:pt idx="128" formatCode="0">
                  <c:v>3630.7805477010384</c:v>
                </c:pt>
                <c:pt idx="129" formatCode="0">
                  <c:v>3801.8939632056372</c:v>
                </c:pt>
                <c:pt idx="130" formatCode="0">
                  <c:v>3981.0717055349983</c:v>
                </c:pt>
                <c:pt idx="131" formatCode="0">
                  <c:v>4168.6938347033802</c:v>
                </c:pt>
                <c:pt idx="132" formatCode="0">
                  <c:v>4365.1583224016858</c:v>
                </c:pt>
                <c:pt idx="133" formatCode="0">
                  <c:v>4570.8818961487768</c:v>
                </c:pt>
                <c:pt idx="134" formatCode="0">
                  <c:v>4786.3009232264103</c:v>
                </c:pt>
                <c:pt idx="135" formatCode="0">
                  <c:v>5011.8723362727505</c:v>
                </c:pt>
                <c:pt idx="136" formatCode="0">
                  <c:v>5248.0746024977634</c:v>
                </c:pt>
                <c:pt idx="137" formatCode="0">
                  <c:v>5495.4087385762832</c:v>
                </c:pt>
                <c:pt idx="138" formatCode="0">
                  <c:v>5754.3993733716079</c:v>
                </c:pt>
                <c:pt idx="139" formatCode="0">
                  <c:v>6025.5958607436169</c:v>
                </c:pt>
                <c:pt idx="140" formatCode="0">
                  <c:v>6309.5734448019721</c:v>
                </c:pt>
                <c:pt idx="141" formatCode="0">
                  <c:v>6606.9344800760009</c:v>
                </c:pt>
                <c:pt idx="142" formatCode="0">
                  <c:v>6918.309709189406</c:v>
                </c:pt>
                <c:pt idx="143" formatCode="0">
                  <c:v>7244.3596007499555</c:v>
                </c:pt>
                <c:pt idx="144" formatCode="0">
                  <c:v>7585.775750291893</c:v>
                </c:pt>
                <c:pt idx="145" formatCode="0">
                  <c:v>7943.2823472428718</c:v>
                </c:pt>
                <c:pt idx="146" formatCode="0">
                  <c:v>8317.6377110267676</c:v>
                </c:pt>
                <c:pt idx="147" formatCode="0">
                  <c:v>8709.6358995608662</c:v>
                </c:pt>
                <c:pt idx="148" formatCode="0">
                  <c:v>9120.1083935591578</c:v>
                </c:pt>
                <c:pt idx="149" formatCode="0">
                  <c:v>9549.92586021442</c:v>
                </c:pt>
                <c:pt idx="150" formatCode="General">
                  <c:v>10000.000000000062</c:v>
                </c:pt>
                <c:pt idx="151" formatCode="0">
                  <c:v>10471.285480509057</c:v>
                </c:pt>
                <c:pt idx="152" formatCode="0">
                  <c:v>10964.781961431914</c:v>
                </c:pt>
                <c:pt idx="153" formatCode="0">
                  <c:v>11481.536214968872</c:v>
                </c:pt>
                <c:pt idx="154" formatCode="0">
                  <c:v>12022.644346174173</c:v>
                </c:pt>
                <c:pt idx="155" formatCode="0">
                  <c:v>12589.254117941693</c:v>
                </c:pt>
                <c:pt idx="156" formatCode="0">
                  <c:v>13182.567385564091</c:v>
                </c:pt>
                <c:pt idx="157" formatCode="0">
                  <c:v>13803.842646028841</c:v>
                </c:pt>
                <c:pt idx="158" formatCode="0">
                  <c:v>14454.397707459266</c:v>
                </c:pt>
                <c:pt idx="159" formatCode="0">
                  <c:v>15135.612484362042</c:v>
                </c:pt>
                <c:pt idx="160" formatCode="0">
                  <c:v>15848.93192461109</c:v>
                </c:pt>
                <c:pt idx="161" formatCode="0">
                  <c:v>16595.869074375558</c:v>
                </c:pt>
                <c:pt idx="162" formatCode="0">
                  <c:v>17378.008287493667</c:v>
                </c:pt>
                <c:pt idx="163" formatCode="0">
                  <c:v>18197.008586099739</c:v>
                </c:pt>
                <c:pt idx="164" formatCode="0">
                  <c:v>19054.607179632338</c:v>
                </c:pt>
                <c:pt idx="165" formatCode="0">
                  <c:v>19952.62314968865</c:v>
                </c:pt>
                <c:pt idx="166" formatCode="0">
                  <c:v>20892.961308540202</c:v>
                </c:pt>
                <c:pt idx="167" formatCode="0">
                  <c:v>21877.616239495317</c:v>
                </c:pt>
                <c:pt idx="168" formatCode="0">
                  <c:v>22908.676527677468</c:v>
                </c:pt>
                <c:pt idx="169" formatCode="0">
                  <c:v>23988.329190194625</c:v>
                </c:pt>
                <c:pt idx="170" formatCode="0">
                  <c:v>25118.864315095503</c:v>
                </c:pt>
                <c:pt idx="171" formatCode="0">
                  <c:v>26302.679918953458</c:v>
                </c:pt>
                <c:pt idx="172" formatCode="0">
                  <c:v>27542.287033381279</c:v>
                </c:pt>
                <c:pt idx="173" formatCode="0">
                  <c:v>28840.3150312656</c:v>
                </c:pt>
                <c:pt idx="174" formatCode="0">
                  <c:v>30199.517204019674</c:v>
                </c:pt>
                <c:pt idx="175" formatCode="0">
                  <c:v>31622.776601683221</c:v>
                </c:pt>
                <c:pt idx="176" formatCode="0">
                  <c:v>33113.1121482585</c:v>
                </c:pt>
                <c:pt idx="177" formatCode="0">
                  <c:v>34673.685045252525</c:v>
                </c:pt>
                <c:pt idx="178" formatCode="0">
                  <c:v>36307.805477009388</c:v>
                </c:pt>
                <c:pt idx="179" formatCode="0">
                  <c:v>38018.939632055335</c:v>
                </c:pt>
                <c:pt idx="180" formatCode="0">
                  <c:v>39810.717055348825</c:v>
                </c:pt>
                <c:pt idx="181" formatCode="0">
                  <c:v>41686.938347032592</c:v>
                </c:pt>
                <c:pt idx="182" formatCode="0">
                  <c:v>43651.583224015514</c:v>
                </c:pt>
                <c:pt idx="183" formatCode="0">
                  <c:v>45708.818961486359</c:v>
                </c:pt>
                <c:pt idx="184" formatCode="0">
                  <c:v>47863.009232262542</c:v>
                </c:pt>
                <c:pt idx="185" formatCode="0">
                  <c:v>50118.723362725868</c:v>
                </c:pt>
                <c:pt idx="186" formatCode="0">
                  <c:v>52480.746024975822</c:v>
                </c:pt>
                <c:pt idx="187" formatCode="0">
                  <c:v>54954.087385760846</c:v>
                </c:pt>
                <c:pt idx="188" formatCode="0">
                  <c:v>57543.993733714</c:v>
                </c:pt>
                <c:pt idx="189" formatCode="0">
                  <c:v>60255.95860743388</c:v>
                </c:pt>
                <c:pt idx="190" formatCode="0">
                  <c:v>63095.734448017327</c:v>
                </c:pt>
                <c:pt idx="191" formatCode="0">
                  <c:v>66069.344800757375</c:v>
                </c:pt>
                <c:pt idx="192" formatCode="0">
                  <c:v>69183.097091891308</c:v>
                </c:pt>
                <c:pt idx="193" formatCode="0">
                  <c:v>72443.59600749641</c:v>
                </c:pt>
                <c:pt idx="194" formatCode="0">
                  <c:v>75857.757502915643</c:v>
                </c:pt>
                <c:pt idx="195" formatCode="0">
                  <c:v>79432.823472425283</c:v>
                </c:pt>
                <c:pt idx="196" formatCode="0">
                  <c:v>83176.377110263929</c:v>
                </c:pt>
                <c:pt idx="197" formatCode="0">
                  <c:v>87096.358995604722</c:v>
                </c:pt>
                <c:pt idx="198" formatCode="0">
                  <c:v>91201.083935587303</c:v>
                </c:pt>
                <c:pt idx="199" formatCode="0">
                  <c:v>95499.258602139729</c:v>
                </c:pt>
                <c:pt idx="200" formatCode="General">
                  <c:v>99999.999999995751</c:v>
                </c:pt>
                <c:pt idx="201" formatCode="0">
                  <c:v>104712.85480508549</c:v>
                </c:pt>
                <c:pt idx="202" formatCode="0">
                  <c:v>109647.81961431362</c:v>
                </c:pt>
                <c:pt idx="203" formatCode="0">
                  <c:v>114815.36214968313</c:v>
                </c:pt>
                <c:pt idx="204" formatCode="0">
                  <c:v>120226.44346173588</c:v>
                </c:pt>
                <c:pt idx="205" formatCode="0">
                  <c:v>125892.54117941081</c:v>
                </c:pt>
                <c:pt idx="206" formatCode="0">
                  <c:v>131825.67385563449</c:v>
                </c:pt>
                <c:pt idx="207" formatCode="0">
                  <c:v>138038.42646028171</c:v>
                </c:pt>
                <c:pt idx="208" formatCode="0">
                  <c:v>144543.97707458562</c:v>
                </c:pt>
                <c:pt idx="209" formatCode="0">
                  <c:v>151356.12484361307</c:v>
                </c:pt>
                <c:pt idx="210" formatCode="0">
                  <c:v>158489.3192461032</c:v>
                </c:pt>
                <c:pt idx="211" formatCode="0">
                  <c:v>165958.6907437472</c:v>
                </c:pt>
                <c:pt idx="212" formatCode="0">
                  <c:v>173780.08287492822</c:v>
                </c:pt>
                <c:pt idx="213" formatCode="0">
                  <c:v>181970.08586098856</c:v>
                </c:pt>
                <c:pt idx="214" formatCode="0">
                  <c:v>190546.07179631409</c:v>
                </c:pt>
                <c:pt idx="215" formatCode="0">
                  <c:v>199526.2314968768</c:v>
                </c:pt>
                <c:pt idx="216" formatCode="0">
                  <c:v>208929.61308539184</c:v>
                </c:pt>
                <c:pt idx="217" formatCode="0">
                  <c:v>218776.16239494254</c:v>
                </c:pt>
                <c:pt idx="218" formatCode="0">
                  <c:v>229086.76527676353</c:v>
                </c:pt>
                <c:pt idx="219" formatCode="0">
                  <c:v>239883.2919019346</c:v>
                </c:pt>
                <c:pt idx="220" formatCode="0">
                  <c:v>251188.64315094237</c:v>
                </c:pt>
                <c:pt idx="221" formatCode="0">
                  <c:v>263026.79918952176</c:v>
                </c:pt>
                <c:pt idx="222" formatCode="0">
                  <c:v>275422.87033379939</c:v>
                </c:pt>
                <c:pt idx="223" formatCode="0">
                  <c:v>288403.15031264198</c:v>
                </c:pt>
                <c:pt idx="224" formatCode="0">
                  <c:v>301995.17204018205</c:v>
                </c:pt>
                <c:pt idx="225" formatCode="0">
                  <c:v>316227.76601681684</c:v>
                </c:pt>
                <c:pt idx="226" formatCode="0">
                  <c:v>331131.12148256891</c:v>
                </c:pt>
                <c:pt idx="227" formatCode="0">
                  <c:v>346736.85045250773</c:v>
                </c:pt>
                <c:pt idx="228" formatCode="0">
                  <c:v>363078.05477007624</c:v>
                </c:pt>
                <c:pt idx="229" formatCode="0">
                  <c:v>380189.39632053417</c:v>
                </c:pt>
                <c:pt idx="230" formatCode="0">
                  <c:v>398107.17055346887</c:v>
                </c:pt>
                <c:pt idx="231" formatCode="0">
                  <c:v>416869.38347030559</c:v>
                </c:pt>
                <c:pt idx="232" formatCode="0">
                  <c:v>436515.8322401339</c:v>
                </c:pt>
                <c:pt idx="233" formatCode="0">
                  <c:v>457088.18961484137</c:v>
                </c:pt>
                <c:pt idx="234" formatCode="0">
                  <c:v>478630.09232260217</c:v>
                </c:pt>
                <c:pt idx="235" formatCode="0">
                  <c:v>501187.23362723429</c:v>
                </c:pt>
                <c:pt idx="236" formatCode="0">
                  <c:v>524807.46024973178</c:v>
                </c:pt>
                <c:pt idx="237" formatCode="0">
                  <c:v>549540.87385758176</c:v>
                </c:pt>
                <c:pt idx="238" formatCode="0">
                  <c:v>575439.93733711203</c:v>
                </c:pt>
                <c:pt idx="239" formatCode="0">
                  <c:v>602559.58607430954</c:v>
                </c:pt>
                <c:pt idx="240" formatCode="0">
                  <c:v>630957.34448014258</c:v>
                </c:pt>
                <c:pt idx="241" formatCode="0">
                  <c:v>660693.44800754171</c:v>
                </c:pt>
                <c:pt idx="242" formatCode="0">
                  <c:v>691830.9709188795</c:v>
                </c:pt>
                <c:pt idx="243" formatCode="0">
                  <c:v>724435.96007492894</c:v>
                </c:pt>
                <c:pt idx="244" formatCode="0">
                  <c:v>758577.57502911962</c:v>
                </c:pt>
                <c:pt idx="245" formatCode="0">
                  <c:v>794328.23472421279</c:v>
                </c:pt>
                <c:pt idx="246" formatCode="0">
                  <c:v>831763.77110259887</c:v>
                </c:pt>
                <c:pt idx="247" formatCode="0">
                  <c:v>870963.58995600487</c:v>
                </c:pt>
                <c:pt idx="248" formatCode="0">
                  <c:v>912010.83935582871</c:v>
                </c:pt>
                <c:pt idx="249" formatCode="0">
                  <c:v>954992.58602135081</c:v>
                </c:pt>
                <c:pt idx="250" formatCode="General">
                  <c:v>999999.99999990896</c:v>
                </c:pt>
              </c:numCache>
            </c:numRef>
          </c:xVal>
          <c:yVal>
            <c:numRef>
              <c:f>'Input and Results'!$D$80:$D$330</c:f>
              <c:numCache>
                <c:formatCode>0.000</c:formatCode>
                <c:ptCount val="251"/>
                <c:pt idx="0">
                  <c:v>56.88133795417923</c:v>
                </c:pt>
                <c:pt idx="1">
                  <c:v>56.863985141979555</c:v>
                </c:pt>
                <c:pt idx="2">
                  <c:v>56.845037541838039</c:v>
                </c:pt>
                <c:pt idx="3">
                  <c:v>56.824356515937197</c:v>
                </c:pt>
                <c:pt idx="4">
                  <c:v>56.801792880678725</c:v>
                </c:pt>
                <c:pt idx="5">
                  <c:v>56.777186388411188</c:v>
                </c:pt>
                <c:pt idx="6">
                  <c:v>56.750365239384394</c:v>
                </c:pt>
                <c:pt idx="7">
                  <c:v>56.72114563749777</c:v>
                </c:pt>
                <c:pt idx="8">
                  <c:v>56.689331405486612</c:v>
                </c:pt>
                <c:pt idx="9">
                  <c:v>56.654713677328729</c:v>
                </c:pt>
                <c:pt idx="10">
                  <c:v>56.617070687781833</c:v>
                </c:pt>
                <c:pt idx="11">
                  <c:v>56.576167680983559</c:v>
                </c:pt>
                <c:pt idx="12">
                  <c:v>56.531756961849482</c:v>
                </c:pt>
                <c:pt idx="13">
                  <c:v>56.483578115445738</c:v>
                </c:pt>
                <c:pt idx="14">
                  <c:v>56.431358420413936</c:v>
                </c:pt>
                <c:pt idx="15">
                  <c:v>56.374813482714416</c:v>
                </c:pt>
                <c:pt idx="16">
                  <c:v>56.313648115200991</c:v>
                </c:pt>
                <c:pt idx="17">
                  <c:v>56.247557486643643</c:v>
                </c:pt>
                <c:pt idx="18">
                  <c:v>56.176228560568418</c:v>
                </c:pt>
                <c:pt idx="19">
                  <c:v>56.09934183949543</c:v>
                </c:pt>
                <c:pt idx="20">
                  <c:v>56.01657342370261</c:v>
                </c:pt>
                <c:pt idx="21">
                  <c:v>55.92759738546372</c:v>
                </c:pt>
                <c:pt idx="22">
                  <c:v>55.832088449845301</c:v>
                </c:pt>
                <c:pt idx="23">
                  <c:v>55.729724961776867</c:v>
                </c:pt>
                <c:pt idx="24">
                  <c:v>55.620192106544344</c:v>
                </c:pt>
                <c:pt idx="25">
                  <c:v>55.503185337589727</c:v>
                </c:pt>
                <c:pt idx="26">
                  <c:v>55.378413952148321</c:v>
                </c:pt>
                <c:pt idx="27">
                  <c:v>55.245604742618013</c:v>
                </c:pt>
                <c:pt idx="28">
                  <c:v>55.104505640474869</c:v>
                </c:pt>
                <c:pt idx="29">
                  <c:v>54.954889260951646</c:v>
                </c:pt>
                <c:pt idx="30">
                  <c:v>54.796556251432492</c:v>
                </c:pt>
                <c:pt idx="31">
                  <c:v>54.629338345327646</c:v>
                </c:pt>
                <c:pt idx="32">
                  <c:v>54.453101026588065</c:v>
                </c:pt>
                <c:pt idx="33">
                  <c:v>54.267745718232348</c:v>
                </c:pt>
                <c:pt idx="34">
                  <c:v>54.073211421142261</c:v>
                </c:pt>
                <c:pt idx="35">
                  <c:v>53.869475746454121</c:v>
                </c:pt>
                <c:pt idx="36">
                  <c:v>53.656555305268363</c:v>
                </c:pt>
                <c:pt idx="37">
                  <c:v>53.434505441970124</c:v>
                </c:pt>
                <c:pt idx="38">
                  <c:v>53.203419320864199</c:v>
                </c:pt>
                <c:pt idx="39">
                  <c:v>52.963426398645169</c:v>
                </c:pt>
                <c:pt idx="40">
                  <c:v>52.714690336093021</c:v>
                </c:pt>
                <c:pt idx="41">
                  <c:v>52.457406420100313</c:v>
                </c:pt>
                <c:pt idx="42">
                  <c:v>52.191798580813156</c:v>
                </c:pt>
                <c:pt idx="43">
                  <c:v>51.918116097708683</c:v>
                </c:pt>
                <c:pt idx="44">
                  <c:v>51.636630092669385</c:v>
                </c:pt>
                <c:pt idx="45">
                  <c:v>51.347629907703976</c:v>
                </c:pt>
                <c:pt idx="46">
                  <c:v>51.051419460360037</c:v>
                </c:pt>
                <c:pt idx="47">
                  <c:v>50.748313661810684</c:v>
                </c:pt>
                <c:pt idx="48">
                  <c:v>50.43863497188611</c:v>
                </c:pt>
                <c:pt idx="49">
                  <c:v>50.122710152894541</c:v>
                </c:pt>
                <c:pt idx="50">
                  <c:v>49.800867270798797</c:v>
                </c:pt>
                <c:pt idx="51">
                  <c:v>49.47343297898577</c:v>
                </c:pt>
                <c:pt idx="52">
                  <c:v>49.140730107142247</c:v>
                </c:pt>
                <c:pt idx="53">
                  <c:v>48.803075566151371</c:v>
                </c:pt>
                <c:pt idx="54">
                  <c:v>48.460778569782505</c:v>
                </c:pt>
                <c:pt idx="55">
                  <c:v>48.11413916547216</c:v>
                </c:pt>
                <c:pt idx="56">
                  <c:v>47.763447059741402</c:v>
                </c:pt>
                <c:pt idx="57">
                  <c:v>47.408980718729993</c:v>
                </c:pt>
                <c:pt idx="58">
                  <c:v>47.051006720818506</c:v>
                </c:pt>
                <c:pt idx="59">
                  <c:v>46.689779336196708</c:v>
                </c:pt>
                <c:pt idx="60">
                  <c:v>46.325540307293217</c:v>
                </c:pt>
                <c:pt idx="61">
                  <c:v>45.95851880401753</c:v>
                </c:pt>
                <c:pt idx="62">
                  <c:v>45.588931528549374</c:v>
                </c:pt>
                <c:pt idx="63">
                  <c:v>45.216982945758858</c:v>
                </c:pt>
                <c:pt idx="64">
                  <c:v>44.842865617075752</c:v>
                </c:pt>
                <c:pt idx="65">
                  <c:v>44.466760617601814</c:v>
                </c:pt>
                <c:pt idx="66">
                  <c:v>44.088838018346472</c:v>
                </c:pt>
                <c:pt idx="67">
                  <c:v>43.709257417580517</c:v>
                </c:pt>
                <c:pt idx="68">
                  <c:v>43.328168507349375</c:v>
                </c:pt>
                <c:pt idx="69">
                  <c:v>42.945711663135512</c:v>
                </c:pt>
                <c:pt idx="70">
                  <c:v>42.56201854645326</c:v>
                </c:pt>
                <c:pt idx="71">
                  <c:v>42.177212711786218</c:v>
                </c:pt>
                <c:pt idx="72">
                  <c:v>41.791410210722646</c:v>
                </c:pt>
                <c:pt idx="73">
                  <c:v>41.404720187404976</c:v>
                </c:pt>
                <c:pt idx="74">
                  <c:v>41.017245460493157</c:v>
                </c:pt>
                <c:pt idx="75">
                  <c:v>40.629083087748896</c:v>
                </c:pt>
                <c:pt idx="76">
                  <c:v>40.240324910108356</c:v>
                </c:pt>
                <c:pt idx="77">
                  <c:v>39.851058072717059</c:v>
                </c:pt>
                <c:pt idx="78">
                  <c:v>39.4613655208965</c:v>
                </c:pt>
                <c:pt idx="79">
                  <c:v>39.071326469395842</c:v>
                </c:pt>
                <c:pt idx="80">
                  <c:v>38.68101684359047</c:v>
                </c:pt>
                <c:pt idx="81">
                  <c:v>38.290509691537622</c:v>
                </c:pt>
                <c:pt idx="82">
                  <c:v>37.899875566019915</c:v>
                </c:pt>
                <c:pt idx="83">
                  <c:v>37.509182875919777</c:v>
                </c:pt>
                <c:pt idx="84">
                  <c:v>37.118498206512385</c:v>
                </c:pt>
                <c:pt idx="85">
                  <c:v>36.727886608563175</c:v>
                </c:pt>
                <c:pt idx="86">
                  <c:v>36.337411856507622</c:v>
                </c:pt>
                <c:pt idx="87">
                  <c:v>35.947136676505806</c:v>
                </c:pt>
                <c:pt idx="88">
                  <c:v>35.557122945833342</c:v>
                </c:pt>
                <c:pt idx="89">
                  <c:v>35.167431865926361</c:v>
                </c:pt>
                <c:pt idx="90">
                  <c:v>34.778124112450072</c:v>
                </c:pt>
                <c:pt idx="91">
                  <c:v>34.38925996703319</c:v>
                </c:pt>
                <c:pt idx="92">
                  <c:v>34.000899436783911</c:v>
                </c:pt>
                <c:pt idx="93">
                  <c:v>33.613102369366842</c:v>
                </c:pt>
                <c:pt idx="94">
                  <c:v>33.225928573205515</c:v>
                </c:pt>
                <c:pt idx="95">
                  <c:v>32.839437954236573</c:v>
                </c:pt>
                <c:pt idx="96">
                  <c:v>32.45369068243906</c:v>
                </c:pt>
                <c:pt idx="97">
                  <c:v>32.068747403002021</c:v>
                </c:pt>
                <c:pt idx="98">
                  <c:v>31.684669508299621</c:v>
                </c:pt>
                <c:pt idx="99">
                  <c:v>31.301519487667278</c:v>
                </c:pt>
                <c:pt idx="100">
                  <c:v>30.919361372153368</c:v>
                </c:pt>
                <c:pt idx="101">
                  <c:v>30.538261290822156</c:v>
                </c:pt>
                <c:pt idx="102">
                  <c:v>30.158288153708032</c:v>
                </c:pt>
                <c:pt idx="103">
                  <c:v>29.779514474135958</c:v>
                </c:pt>
                <c:pt idx="104">
                  <c:v>29.402017339865871</c:v>
                </c:pt>
                <c:pt idx="105">
                  <c:v>29.025879538526699</c:v>
                </c:pt>
                <c:pt idx="106">
                  <c:v>28.651190838277685</c:v>
                </c:pt>
                <c:pt idx="107">
                  <c:v>28.278049419889797</c:v>
                </c:pt>
                <c:pt idx="108">
                  <c:v>27.906563451781043</c:v>
                </c:pt>
                <c:pt idx="109">
                  <c:v>27.536852795361163</c:v>
                </c:pt>
                <c:pt idx="110">
                  <c:v>27.169050824646611</c:v>
                </c:pt>
                <c:pt idx="111">
                  <c:v>26.803306341779148</c:v>
                </c:pt>
                <c:pt idx="112">
                  <c:v>26.439785568970645</c:v>
                </c:pt>
                <c:pt idx="113">
                  <c:v>26.078674197546391</c:v>
                </c:pt>
                <c:pt idx="114">
                  <c:v>25.720179476047939</c:v>
                </c:pt>
                <c:pt idx="115">
                  <c:v>25.364532321563878</c:v>
                </c:pt>
                <c:pt idx="116">
                  <c:v>25.011989441212663</c:v>
                </c:pt>
                <c:pt idx="117">
                  <c:v>24.662835453583085</c:v>
                </c:pt>
                <c:pt idx="118">
                  <c:v>24.317385002471219</c:v>
                </c:pt>
                <c:pt idx="119">
                  <c:v>23.975984856952667</c:v>
                </c:pt>
                <c:pt idx="120">
                  <c:v>23.639015992217281</c:v>
                </c:pt>
                <c:pt idx="121">
                  <c:v>23.306895644262564</c:v>
                </c:pt>
                <c:pt idx="122">
                  <c:v>22.980079328050262</c:v>
                </c:pt>
                <c:pt idx="123">
                  <c:v>22.659062802706114</c:v>
                </c:pt>
                <c:pt idx="124">
                  <c:v>22.344383958335143</c:v>
                </c:pt>
                <c:pt idx="125">
                  <c:v>22.036624586510904</c:v>
                </c:pt>
                <c:pt idx="126">
                  <c:v>21.736411979789889</c:v>
                </c:pt>
                <c:pt idx="127">
                  <c:v>21.444420283706449</c:v>
                </c:pt>
                <c:pt idx="128">
                  <c:v>21.161371496253729</c:v>
                </c:pt>
                <c:pt idx="129">
                  <c:v>20.888035972835688</c:v>
                </c:pt>
                <c:pt idx="130">
                  <c:v>20.625232246268428</c:v>
                </c:pt>
                <c:pt idx="131">
                  <c:v>20.373825907573959</c:v>
                </c:pt>
                <c:pt idx="132">
                  <c:v>20.134727208381968</c:v>
                </c:pt>
                <c:pt idx="133">
                  <c:v>19.908886931792527</c:v>
                </c:pt>
                <c:pt idx="134">
                  <c:v>19.697289924525307</c:v>
                </c:pt>
                <c:pt idx="135">
                  <c:v>19.500945473887594</c:v>
                </c:pt>
                <c:pt idx="136">
                  <c:v>19.320873427950602</c:v>
                </c:pt>
                <c:pt idx="137">
                  <c:v>19.158084568933401</c:v>
                </c:pt>
                <c:pt idx="138">
                  <c:v>19.013553222992133</c:v>
                </c:pt>
                <c:pt idx="139">
                  <c:v>18.888179381717741</c:v>
                </c:pt>
                <c:pt idx="140">
                  <c:v>18.782736675185888</c:v>
                </c:pt>
                <c:pt idx="141">
                  <c:v>18.697801334696248</c:v>
                </c:pt>
                <c:pt idx="142">
                  <c:v>18.633655812384763</c:v>
                </c:pt>
                <c:pt idx="143">
                  <c:v>18.590159077066595</c:v>
                </c:pt>
                <c:pt idx="144">
                  <c:v>18.566574086457223</c:v>
                </c:pt>
                <c:pt idx="145">
                  <c:v>18.561342277890361</c:v>
                </c:pt>
                <c:pt idx="146">
                  <c:v>18.571796633927395</c:v>
                </c:pt>
                <c:pt idx="147">
                  <c:v>18.593811742399897</c:v>
                </c:pt>
                <c:pt idx="148">
                  <c:v>18.621405768318521</c:v>
                </c:pt>
                <c:pt idx="149">
                  <c:v>18.646341333099105</c:v>
                </c:pt>
                <c:pt idx="150">
                  <c:v>18.65782485949368</c:v>
                </c:pt>
                <c:pt idx="151">
                  <c:v>18.642473577971629</c:v>
                </c:pt>
                <c:pt idx="152">
                  <c:v>18.584780913129777</c:v>
                </c:pt>
                <c:pt idx="153">
                  <c:v>18.468304412770813</c:v>
                </c:pt>
                <c:pt idx="154">
                  <c:v>18.277642850596784</c:v>
                </c:pt>
                <c:pt idx="155">
                  <c:v>18.000924984895747</c:v>
                </c:pt>
                <c:pt idx="156">
                  <c:v>17.632124818426501</c:v>
                </c:pt>
                <c:pt idx="157">
                  <c:v>17.172345531464305</c:v>
                </c:pt>
                <c:pt idx="158">
                  <c:v>16.629525098263962</c:v>
                </c:pt>
                <c:pt idx="159">
                  <c:v>16.016694672536108</c:v>
                </c:pt>
                <c:pt idx="160">
                  <c:v>15.349507518356802</c:v>
                </c:pt>
                <c:pt idx="161">
                  <c:v>14.643881596594303</c:v>
                </c:pt>
                <c:pt idx="162">
                  <c:v>13.914302311965409</c:v>
                </c:pt>
                <c:pt idx="163">
                  <c:v>13.172919928960965</c:v>
                </c:pt>
                <c:pt idx="164">
                  <c:v>12.429295940663938</c:v>
                </c:pt>
                <c:pt idx="165">
                  <c:v>11.69055873930496</c:v>
                </c:pt>
                <c:pt idx="166">
                  <c:v>10.961756237729722</c:v>
                </c:pt>
                <c:pt idx="167">
                  <c:v>10.246262536981648</c:v>
                </c:pt>
                <c:pt idx="168">
                  <c:v>9.5461606437009205</c:v>
                </c:pt>
                <c:pt idx="169">
                  <c:v>8.8625681406375776</c:v>
                </c:pt>
                <c:pt idx="170">
                  <c:v>8.1958984498392802</c:v>
                </c:pt>
                <c:pt idx="171">
                  <c:v>7.5460627129171352</c:v>
                </c:pt>
                <c:pt idx="172">
                  <c:v>6.9126218882428807</c:v>
                </c:pt>
                <c:pt idx="173">
                  <c:v>6.2948992695461659</c:v>
                </c:pt>
                <c:pt idx="174">
                  <c:v>5.6920625231324475</c:v>
                </c:pt>
                <c:pt idx="175">
                  <c:v>5.1031827023898018</c:v>
                </c:pt>
                <c:pt idx="176">
                  <c:v>4.5272760751961849</c:v>
                </c:pt>
                <c:pt idx="177">
                  <c:v>3.9633332032555471</c:v>
                </c:pt>
                <c:pt idx="178">
                  <c:v>3.4103385914357198</c:v>
                </c:pt>
                <c:pt idx="179">
                  <c:v>2.8672833601081464</c:v>
                </c:pt>
                <c:pt idx="180">
                  <c:v>2.3331727414310377</c:v>
                </c:pt>
                <c:pt idx="181">
                  <c:v>1.8070297162069631</c:v>
                </c:pt>
                <c:pt idx="182">
                  <c:v>1.2878957517586729</c:v>
                </c:pt>
                <c:pt idx="183">
                  <c:v>0.7748293414164138</c:v>
                </c:pt>
                <c:pt idx="184">
                  <c:v>0.26690285846509543</c:v>
                </c:pt>
                <c:pt idx="185">
                  <c:v>-0.23680189609131297</c:v>
                </c:pt>
                <c:pt idx="186">
                  <c:v>-0.73719916456687162</c:v>
                </c:pt>
                <c:pt idx="187">
                  <c:v>-1.235205494349259</c:v>
                </c:pt>
                <c:pt idx="188">
                  <c:v>-1.7317465947595476</c:v>
                </c:pt>
                <c:pt idx="189">
                  <c:v>-2.2277646027509359</c:v>
                </c:pt>
                <c:pt idx="190">
                  <c:v>-2.7242255595929095</c:v>
                </c:pt>
                <c:pt idx="191">
                  <c:v>-3.2221268694598564</c:v>
                </c:pt>
                <c:pt idx="192">
                  <c:v>-3.7225044610252471</c:v>
                </c:pt>
                <c:pt idx="193">
                  <c:v>-4.2264393062177295</c:v>
                </c:pt>
                <c:pt idx="194">
                  <c:v>-4.7350628689961916</c:v>
                </c:pt>
                <c:pt idx="195">
                  <c:v>-5.2495609663308471</c:v>
                </c:pt>
                <c:pt idx="196">
                  <c:v>-5.7711754318222503</c:v>
                </c:pt>
                <c:pt idx="197">
                  <c:v>-6.301202892086943</c:v>
                </c:pt>
                <c:pt idx="198">
                  <c:v>-6.8409899146166282</c:v>
                </c:pt>
                <c:pt idx="199">
                  <c:v>-7.3919237854810262</c:v>
                </c:pt>
                <c:pt idx="200">
                  <c:v>-7.9554182514653959</c:v>
                </c:pt>
                <c:pt idx="201">
                  <c:v>-8.5328937395133071</c:v>
                </c:pt>
                <c:pt idx="202">
                  <c:v>-9.1257518666264232</c:v>
                </c:pt>
                <c:pt idx="203">
                  <c:v>-9.735344482597597</c:v>
                </c:pt>
                <c:pt idx="204">
                  <c:v>-10.362938031708305</c:v>
                </c:pt>
                <c:pt idx="205">
                  <c:v>-11.009674635149505</c:v>
                </c:pt>
                <c:pt idx="206">
                  <c:v>-11.676531910206165</c:v>
                </c:pt>
                <c:pt idx="207">
                  <c:v>-12.364284056995864</c:v>
                </c:pt>
                <c:pt idx="208">
                  <c:v>-13.07346705082967</c:v>
                </c:pt>
                <c:pt idx="209">
                  <c:v>-13.804350784085592</c:v>
                </c:pt>
                <c:pt idx="210">
                  <c:v>-14.556920652703107</c:v>
                </c:pt>
                <c:pt idx="211">
                  <c:v>-15.330870388365803</c:v>
                </c:pt>
                <c:pt idx="212">
                  <c:v>-16.125606977640537</c:v>
                </c:pt>
                <c:pt idx="213">
                  <c:v>-16.940267421806155</c:v>
                </c:pt>
                <c:pt idx="214">
                  <c:v>-17.773746043022825</c:v>
                </c:pt>
                <c:pt idx="215">
                  <c:v>-18.624730191555443</c:v>
                </c:pt>
                <c:pt idx="216">
                  <c:v>-19.49174166762122</c:v>
                </c:pt>
                <c:pt idx="217">
                  <c:v>-20.373180986205053</c:v>
                </c:pt>
                <c:pt idx="218">
                  <c:v>-21.267371761538548</c:v>
                </c:pt>
                <c:pt idx="219">
                  <c:v>-22.172602894380816</c:v>
                </c:pt>
                <c:pt idx="220">
                  <c:v>-23.087166806536999</c:v>
                </c:pt>
                <c:pt idx="221">
                  <c:v>-24.009392578401552</c:v>
                </c:pt>
                <c:pt idx="222">
                  <c:v>-24.937673420307185</c:v>
                </c:pt>
                <c:pt idx="223">
                  <c:v>-25.870488389502015</c:v>
                </c:pt>
                <c:pt idx="224">
                  <c:v>-26.806418624205325</c:v>
                </c:pt>
                <c:pt idx="225">
                  <c:v>-27.744158602054036</c:v>
                </c:pt>
                <c:pt idx="226">
                  <c:v>-28.682523057008716</c:v>
                </c:pt>
                <c:pt idx="227">
                  <c:v>-29.620450230000028</c:v>
                </c:pt>
                <c:pt idx="228">
                  <c:v>-30.557002109914659</c:v>
                </c:pt>
                <c:pt idx="229">
                  <c:v>-31.491362266401978</c:v>
                </c:pt>
                <c:pt idx="230">
                  <c:v>-32.422831803152363</c:v>
                </c:pt>
                <c:pt idx="231">
                  <c:v>-33.350823883238832</c:v>
                </c:pt>
                <c:pt idx="232">
                  <c:v>-34.274857205273442</c:v>
                </c:pt>
                <c:pt idx="233">
                  <c:v>-35.19454874495738</c:v>
                </c:pt>
                <c:pt idx="234">
                  <c:v>-36.109606022568002</c:v>
                </c:pt>
                <c:pt idx="235">
                  <c:v>-37.019819112636782</c:v>
                </c:pt>
                <c:pt idx="236">
                  <c:v>-37.925052576061113</c:v>
                </c:pt>
                <c:pt idx="237">
                  <c:v>-38.825237465371202</c:v>
                </c:pt>
                <c:pt idx="238">
                  <c:v>-39.720363529044668</c:v>
                </c:pt>
                <c:pt idx="239">
                  <c:v>-40.610471719177795</c:v>
                </c:pt>
                <c:pt idx="240">
                  <c:v>-41.495647087406766</c:v>
                </c:pt>
                <c:pt idx="241">
                  <c:v>-42.376012136068333</c:v>
                </c:pt>
                <c:pt idx="242">
                  <c:v>-43.251720674890549</c:v>
                </c:pt>
                <c:pt idx="243">
                  <c:v>-44.122952217950562</c:v>
                </c:pt>
                <c:pt idx="244">
                  <c:v>-44.989906941337182</c:v>
                </c:pt>
                <c:pt idx="245">
                  <c:v>-45.852801209108044</c:v>
                </c:pt>
                <c:pt idx="246">
                  <c:v>-46.71186366390917</c:v>
                </c:pt>
                <c:pt idx="247">
                  <c:v>-47.567331869195257</c:v>
                </c:pt>
                <c:pt idx="248">
                  <c:v>-48.419449482425883</c:v>
                </c:pt>
                <c:pt idx="249">
                  <c:v>-49.268463932930402</c:v>
                </c:pt>
                <c:pt idx="250">
                  <c:v>-50.114624574254115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38-4263-82CD-5259232AA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631887"/>
        <c:axId val="1"/>
      </c:scatterChart>
      <c:scatterChart>
        <c:scatterStyle val="lineMarker"/>
        <c:varyColors val="0"/>
        <c:ser>
          <c:idx val="1"/>
          <c:order val="1"/>
          <c:tx>
            <c:v>Phase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'Input and Results'!$C$80:$C$330</c:f>
              <c:numCache>
                <c:formatCode>0.00</c:formatCode>
                <c:ptCount val="251"/>
                <c:pt idx="0" formatCode="General">
                  <c:v>10</c:v>
                </c:pt>
                <c:pt idx="1">
                  <c:v>10.471285480509</c:v>
                </c:pt>
                <c:pt idx="2">
                  <c:v>10.964781961431854</c:v>
                </c:pt>
                <c:pt idx="3">
                  <c:v>11.481536214968834</c:v>
                </c:pt>
                <c:pt idx="4">
                  <c:v>12.022644346174133</c:v>
                </c:pt>
                <c:pt idx="5">
                  <c:v>12.58925411794168</c:v>
                </c:pt>
                <c:pt idx="6">
                  <c:v>13.182567385564075</c:v>
                </c:pt>
                <c:pt idx="7">
                  <c:v>13.803842646028857</c:v>
                </c:pt>
                <c:pt idx="8">
                  <c:v>14.454397707459282</c:v>
                </c:pt>
                <c:pt idx="9">
                  <c:v>15.135612484362092</c:v>
                </c:pt>
                <c:pt idx="10">
                  <c:v>15.848931924611144</c:v>
                </c:pt>
                <c:pt idx="11">
                  <c:v>16.595869074375621</c:v>
                </c:pt>
                <c:pt idx="12">
                  <c:v>17.378008287493763</c:v>
                </c:pt>
                <c:pt idx="13">
                  <c:v>18.197008586099848</c:v>
                </c:pt>
                <c:pt idx="14">
                  <c:v>19.054607179632484</c:v>
                </c:pt>
                <c:pt idx="15">
                  <c:v>19.952623149688815</c:v>
                </c:pt>
                <c:pt idx="16">
                  <c:v>20.892961308540418</c:v>
                </c:pt>
                <c:pt idx="17">
                  <c:v>21.877616239495548</c:v>
                </c:pt>
                <c:pt idx="18">
                  <c:v>22.908676527677759</c:v>
                </c:pt>
                <c:pt idx="19">
                  <c:v>23.988329190194928</c:v>
                </c:pt>
                <c:pt idx="20">
                  <c:v>25.118864315095834</c:v>
                </c:pt>
                <c:pt idx="21">
                  <c:v>26.302679918953849</c:v>
                </c:pt>
                <c:pt idx="22">
                  <c:v>27.542287033381701</c:v>
                </c:pt>
                <c:pt idx="23">
                  <c:v>28.840315031266094</c:v>
                </c:pt>
                <c:pt idx="24">
                  <c:v>30.199517204020204</c:v>
                </c:pt>
                <c:pt idx="25">
                  <c:v>31.622776601683832</c:v>
                </c:pt>
                <c:pt idx="26">
                  <c:v>33.113112148259155</c:v>
                </c:pt>
                <c:pt idx="27">
                  <c:v>34.673685045253208</c:v>
                </c:pt>
                <c:pt idx="28">
                  <c:v>36.307805477010191</c:v>
                </c:pt>
                <c:pt idx="29">
                  <c:v>38.018939632056167</c:v>
                </c:pt>
                <c:pt idx="30">
                  <c:v>39.810717055349791</c:v>
                </c:pt>
                <c:pt idx="31">
                  <c:v>41.686938347033596</c:v>
                </c:pt>
                <c:pt idx="32">
                  <c:v>43.651583224016669</c:v>
                </c:pt>
                <c:pt idx="33">
                  <c:v>45.708818961487587</c:v>
                </c:pt>
                <c:pt idx="34">
                  <c:v>47.86300923226392</c:v>
                </c:pt>
                <c:pt idx="35">
                  <c:v>50.11872336272733</c:v>
                </c:pt>
                <c:pt idx="36">
                  <c:v>52.48074602497735</c:v>
                </c:pt>
                <c:pt idx="37">
                  <c:v>54.95408738576257</c:v>
                </c:pt>
                <c:pt idx="38">
                  <c:v>57.543993733715801</c:v>
                </c:pt>
                <c:pt idx="39">
                  <c:v>60.255958607435872</c:v>
                </c:pt>
                <c:pt idx="40">
                  <c:v>63.095734448019471</c:v>
                </c:pt>
                <c:pt idx="41">
                  <c:v>66.069344800759737</c:v>
                </c:pt>
                <c:pt idx="42">
                  <c:v>69.183097091893785</c:v>
                </c:pt>
                <c:pt idx="43">
                  <c:v>72.443596007499139</c:v>
                </c:pt>
                <c:pt idx="44">
                  <c:v>75.85775750291856</c:v>
                </c:pt>
                <c:pt idx="45">
                  <c:v>79.432823472428325</c:v>
                </c:pt>
                <c:pt idx="46">
                  <c:v>83.176377110267268</c:v>
                </c:pt>
                <c:pt idx="47">
                  <c:v>87.096358995608313</c:v>
                </c:pt>
                <c:pt idx="48">
                  <c:v>91.201083935591214</c:v>
                </c:pt>
                <c:pt idx="49">
                  <c:v>95.499258602143826</c:v>
                </c:pt>
                <c:pt idx="50">
                  <c:v>100.00000000000023</c:v>
                </c:pt>
                <c:pt idx="51">
                  <c:v>104.71285480509026</c:v>
                </c:pt>
                <c:pt idx="52">
                  <c:v>109.64781961431881</c:v>
                </c:pt>
                <c:pt idx="53">
                  <c:v>114.81536214968857</c:v>
                </c:pt>
                <c:pt idx="54">
                  <c:v>120.22644346174157</c:v>
                </c:pt>
                <c:pt idx="55">
                  <c:v>125.89254117941711</c:v>
                </c:pt>
                <c:pt idx="56">
                  <c:v>131.82567385564107</c:v>
                </c:pt>
                <c:pt idx="57">
                  <c:v>138.03842646028886</c:v>
                </c:pt>
                <c:pt idx="58">
                  <c:v>144.5439770745931</c:v>
                </c:pt>
                <c:pt idx="59">
                  <c:v>151.3561248436213</c:v>
                </c:pt>
                <c:pt idx="60">
                  <c:v>158.48931924611182</c:v>
                </c:pt>
                <c:pt idx="61">
                  <c:v>165.95869074375653</c:v>
                </c:pt>
                <c:pt idx="62">
                  <c:v>173.78008287493799</c:v>
                </c:pt>
                <c:pt idx="63">
                  <c:v>181.97008586099895</c:v>
                </c:pt>
                <c:pt idx="64">
                  <c:v>190.54607179632529</c:v>
                </c:pt>
                <c:pt idx="65">
                  <c:v>199.52623149688853</c:v>
                </c:pt>
                <c:pt idx="66">
                  <c:v>208.9296130854047</c:v>
                </c:pt>
                <c:pt idx="67">
                  <c:v>218.776162394956</c:v>
                </c:pt>
                <c:pt idx="68">
                  <c:v>229.08676527677804</c:v>
                </c:pt>
                <c:pt idx="69">
                  <c:v>239.88329190194978</c:v>
                </c:pt>
                <c:pt idx="70">
                  <c:v>251.18864315095894</c:v>
                </c:pt>
                <c:pt idx="71">
                  <c:v>263.02679918953913</c:v>
                </c:pt>
                <c:pt idx="72">
                  <c:v>275.42287033381757</c:v>
                </c:pt>
                <c:pt idx="73">
                  <c:v>288.40315031266152</c:v>
                </c:pt>
                <c:pt idx="74">
                  <c:v>301.99517204020276</c:v>
                </c:pt>
                <c:pt idx="75">
                  <c:v>316.2277660168391</c:v>
                </c:pt>
                <c:pt idx="76">
                  <c:v>331.13112148259222</c:v>
                </c:pt>
                <c:pt idx="77">
                  <c:v>346.73685045253279</c:v>
                </c:pt>
                <c:pt idx="78">
                  <c:v>363.07805477010277</c:v>
                </c:pt>
                <c:pt idx="79">
                  <c:v>380.18939632056265</c:v>
                </c:pt>
                <c:pt idx="80">
                  <c:v>398.10717055349869</c:v>
                </c:pt>
                <c:pt idx="81">
                  <c:v>416.8693834703372</c:v>
                </c:pt>
                <c:pt idx="82">
                  <c:v>436.51583224016775</c:v>
                </c:pt>
                <c:pt idx="83">
                  <c:v>457.0881896148768</c:v>
                </c:pt>
                <c:pt idx="84">
                  <c:v>478.63009232264011</c:v>
                </c:pt>
                <c:pt idx="85">
                  <c:v>501.18723362727451</c:v>
                </c:pt>
                <c:pt idx="86">
                  <c:v>524.80746024977486</c:v>
                </c:pt>
                <c:pt idx="87">
                  <c:v>549.54087385762671</c:v>
                </c:pt>
                <c:pt idx="88">
                  <c:v>575.43993733715911</c:v>
                </c:pt>
                <c:pt idx="89">
                  <c:v>602.55958607436048</c:v>
                </c:pt>
                <c:pt idx="90">
                  <c:v>630.95734448019596</c:v>
                </c:pt>
                <c:pt idx="91">
                  <c:v>660.6934480075987</c:v>
                </c:pt>
                <c:pt idx="92">
                  <c:v>691.83097091893922</c:v>
                </c:pt>
                <c:pt idx="93">
                  <c:v>724.43596007499343</c:v>
                </c:pt>
                <c:pt idx="94">
                  <c:v>758.57757502918719</c:v>
                </c:pt>
                <c:pt idx="95">
                  <c:v>794.32823472428493</c:v>
                </c:pt>
                <c:pt idx="96">
                  <c:v>831.76377110267515</c:v>
                </c:pt>
                <c:pt idx="97">
                  <c:v>870.96358995608477</c:v>
                </c:pt>
                <c:pt idx="98">
                  <c:v>912.01083935591396</c:v>
                </c:pt>
                <c:pt idx="99">
                  <c:v>954.99258602144016</c:v>
                </c:pt>
                <c:pt idx="100" formatCode="General">
                  <c:v>1000.0000000000051</c:v>
                </c:pt>
                <c:pt idx="101" formatCode="0">
                  <c:v>1047.1285480509046</c:v>
                </c:pt>
                <c:pt idx="102" formatCode="0">
                  <c:v>1096.4781961431902</c:v>
                </c:pt>
                <c:pt idx="103" formatCode="0">
                  <c:v>1148.153621496888</c:v>
                </c:pt>
                <c:pt idx="104" formatCode="0">
                  <c:v>1202.2644346174193</c:v>
                </c:pt>
                <c:pt idx="105" formatCode="0">
                  <c:v>1258.9254117941734</c:v>
                </c:pt>
                <c:pt idx="106" formatCode="0">
                  <c:v>1318.2567385564134</c:v>
                </c:pt>
                <c:pt idx="107" formatCode="0">
                  <c:v>1380.3842646028913</c:v>
                </c:pt>
                <c:pt idx="108" formatCode="0">
                  <c:v>1445.4397707459352</c:v>
                </c:pt>
                <c:pt idx="109" formatCode="0">
                  <c:v>1513.5612484362159</c:v>
                </c:pt>
                <c:pt idx="110" formatCode="0">
                  <c:v>1584.8931924611213</c:v>
                </c:pt>
                <c:pt idx="111" formatCode="0">
                  <c:v>1659.5869074375701</c:v>
                </c:pt>
                <c:pt idx="112" formatCode="0">
                  <c:v>1737.8008287493849</c:v>
                </c:pt>
                <c:pt idx="113" formatCode="0">
                  <c:v>1819.700858609993</c:v>
                </c:pt>
                <c:pt idx="114" formatCode="0">
                  <c:v>1905.4607179632569</c:v>
                </c:pt>
                <c:pt idx="115" formatCode="0">
                  <c:v>1995.2623149688911</c:v>
                </c:pt>
                <c:pt idx="116" formatCode="0">
                  <c:v>2089.2961308540512</c:v>
                </c:pt>
                <c:pt idx="117" formatCode="0">
                  <c:v>2187.7616239495642</c:v>
                </c:pt>
                <c:pt idx="118" formatCode="0">
                  <c:v>2290.8676527677849</c:v>
                </c:pt>
                <c:pt idx="119" formatCode="0">
                  <c:v>2398.8329190195045</c:v>
                </c:pt>
                <c:pt idx="120" formatCode="0">
                  <c:v>2511.8864315095943</c:v>
                </c:pt>
                <c:pt idx="121" formatCode="0">
                  <c:v>2630.2679918953963</c:v>
                </c:pt>
                <c:pt idx="122" formatCode="0">
                  <c:v>2754.2287033381813</c:v>
                </c:pt>
                <c:pt idx="123" formatCode="0">
                  <c:v>2884.0315031266232</c:v>
                </c:pt>
                <c:pt idx="124" formatCode="0">
                  <c:v>3019.951720402034</c:v>
                </c:pt>
                <c:pt idx="125" formatCode="0">
                  <c:v>3162.2776601683972</c:v>
                </c:pt>
                <c:pt idx="126" formatCode="0">
                  <c:v>3311.3112148259288</c:v>
                </c:pt>
                <c:pt idx="127" formatCode="0">
                  <c:v>3467.3685045253346</c:v>
                </c:pt>
                <c:pt idx="128" formatCode="0">
                  <c:v>3630.7805477010384</c:v>
                </c:pt>
                <c:pt idx="129" formatCode="0">
                  <c:v>3801.8939632056372</c:v>
                </c:pt>
                <c:pt idx="130" formatCode="0">
                  <c:v>3981.0717055349983</c:v>
                </c:pt>
                <c:pt idx="131" formatCode="0">
                  <c:v>4168.6938347033802</c:v>
                </c:pt>
                <c:pt idx="132" formatCode="0">
                  <c:v>4365.1583224016858</c:v>
                </c:pt>
                <c:pt idx="133" formatCode="0">
                  <c:v>4570.8818961487768</c:v>
                </c:pt>
                <c:pt idx="134" formatCode="0">
                  <c:v>4786.3009232264103</c:v>
                </c:pt>
                <c:pt idx="135" formatCode="0">
                  <c:v>5011.8723362727505</c:v>
                </c:pt>
                <c:pt idx="136" formatCode="0">
                  <c:v>5248.0746024977634</c:v>
                </c:pt>
                <c:pt idx="137" formatCode="0">
                  <c:v>5495.4087385762832</c:v>
                </c:pt>
                <c:pt idx="138" formatCode="0">
                  <c:v>5754.3993733716079</c:v>
                </c:pt>
                <c:pt idx="139" formatCode="0">
                  <c:v>6025.5958607436169</c:v>
                </c:pt>
                <c:pt idx="140" formatCode="0">
                  <c:v>6309.5734448019721</c:v>
                </c:pt>
                <c:pt idx="141" formatCode="0">
                  <c:v>6606.9344800760009</c:v>
                </c:pt>
                <c:pt idx="142" formatCode="0">
                  <c:v>6918.309709189406</c:v>
                </c:pt>
                <c:pt idx="143" formatCode="0">
                  <c:v>7244.3596007499555</c:v>
                </c:pt>
                <c:pt idx="144" formatCode="0">
                  <c:v>7585.775750291893</c:v>
                </c:pt>
                <c:pt idx="145" formatCode="0">
                  <c:v>7943.2823472428718</c:v>
                </c:pt>
                <c:pt idx="146" formatCode="0">
                  <c:v>8317.6377110267676</c:v>
                </c:pt>
                <c:pt idx="147" formatCode="0">
                  <c:v>8709.6358995608662</c:v>
                </c:pt>
                <c:pt idx="148" formatCode="0">
                  <c:v>9120.1083935591578</c:v>
                </c:pt>
                <c:pt idx="149" formatCode="0">
                  <c:v>9549.92586021442</c:v>
                </c:pt>
                <c:pt idx="150" formatCode="General">
                  <c:v>10000.000000000062</c:v>
                </c:pt>
                <c:pt idx="151" formatCode="0">
                  <c:v>10471.285480509057</c:v>
                </c:pt>
                <c:pt idx="152" formatCode="0">
                  <c:v>10964.781961431914</c:v>
                </c:pt>
                <c:pt idx="153" formatCode="0">
                  <c:v>11481.536214968872</c:v>
                </c:pt>
                <c:pt idx="154" formatCode="0">
                  <c:v>12022.644346174173</c:v>
                </c:pt>
                <c:pt idx="155" formatCode="0">
                  <c:v>12589.254117941693</c:v>
                </c:pt>
                <c:pt idx="156" formatCode="0">
                  <c:v>13182.567385564091</c:v>
                </c:pt>
                <c:pt idx="157" formatCode="0">
                  <c:v>13803.842646028841</c:v>
                </c:pt>
                <c:pt idx="158" formatCode="0">
                  <c:v>14454.397707459266</c:v>
                </c:pt>
                <c:pt idx="159" formatCode="0">
                  <c:v>15135.612484362042</c:v>
                </c:pt>
                <c:pt idx="160" formatCode="0">
                  <c:v>15848.93192461109</c:v>
                </c:pt>
                <c:pt idx="161" formatCode="0">
                  <c:v>16595.869074375558</c:v>
                </c:pt>
                <c:pt idx="162" formatCode="0">
                  <c:v>17378.008287493667</c:v>
                </c:pt>
                <c:pt idx="163" formatCode="0">
                  <c:v>18197.008586099739</c:v>
                </c:pt>
                <c:pt idx="164" formatCode="0">
                  <c:v>19054.607179632338</c:v>
                </c:pt>
                <c:pt idx="165" formatCode="0">
                  <c:v>19952.62314968865</c:v>
                </c:pt>
                <c:pt idx="166" formatCode="0">
                  <c:v>20892.961308540202</c:v>
                </c:pt>
                <c:pt idx="167" formatCode="0">
                  <c:v>21877.616239495317</c:v>
                </c:pt>
                <c:pt idx="168" formatCode="0">
                  <c:v>22908.676527677468</c:v>
                </c:pt>
                <c:pt idx="169" formatCode="0">
                  <c:v>23988.329190194625</c:v>
                </c:pt>
                <c:pt idx="170" formatCode="0">
                  <c:v>25118.864315095503</c:v>
                </c:pt>
                <c:pt idx="171" formatCode="0">
                  <c:v>26302.679918953458</c:v>
                </c:pt>
                <c:pt idx="172" formatCode="0">
                  <c:v>27542.287033381279</c:v>
                </c:pt>
                <c:pt idx="173" formatCode="0">
                  <c:v>28840.3150312656</c:v>
                </c:pt>
                <c:pt idx="174" formatCode="0">
                  <c:v>30199.517204019674</c:v>
                </c:pt>
                <c:pt idx="175" formatCode="0">
                  <c:v>31622.776601683221</c:v>
                </c:pt>
                <c:pt idx="176" formatCode="0">
                  <c:v>33113.1121482585</c:v>
                </c:pt>
                <c:pt idx="177" formatCode="0">
                  <c:v>34673.685045252525</c:v>
                </c:pt>
                <c:pt idx="178" formatCode="0">
                  <c:v>36307.805477009388</c:v>
                </c:pt>
                <c:pt idx="179" formatCode="0">
                  <c:v>38018.939632055335</c:v>
                </c:pt>
                <c:pt idx="180" formatCode="0">
                  <c:v>39810.717055348825</c:v>
                </c:pt>
                <c:pt idx="181" formatCode="0">
                  <c:v>41686.938347032592</c:v>
                </c:pt>
                <c:pt idx="182" formatCode="0">
                  <c:v>43651.583224015514</c:v>
                </c:pt>
                <c:pt idx="183" formatCode="0">
                  <c:v>45708.818961486359</c:v>
                </c:pt>
                <c:pt idx="184" formatCode="0">
                  <c:v>47863.009232262542</c:v>
                </c:pt>
                <c:pt idx="185" formatCode="0">
                  <c:v>50118.723362725868</c:v>
                </c:pt>
                <c:pt idx="186" formatCode="0">
                  <c:v>52480.746024975822</c:v>
                </c:pt>
                <c:pt idx="187" formatCode="0">
                  <c:v>54954.087385760846</c:v>
                </c:pt>
                <c:pt idx="188" formatCode="0">
                  <c:v>57543.993733714</c:v>
                </c:pt>
                <c:pt idx="189" formatCode="0">
                  <c:v>60255.95860743388</c:v>
                </c:pt>
                <c:pt idx="190" formatCode="0">
                  <c:v>63095.734448017327</c:v>
                </c:pt>
                <c:pt idx="191" formatCode="0">
                  <c:v>66069.344800757375</c:v>
                </c:pt>
                <c:pt idx="192" formatCode="0">
                  <c:v>69183.097091891308</c:v>
                </c:pt>
                <c:pt idx="193" formatCode="0">
                  <c:v>72443.59600749641</c:v>
                </c:pt>
                <c:pt idx="194" formatCode="0">
                  <c:v>75857.757502915643</c:v>
                </c:pt>
                <c:pt idx="195" formatCode="0">
                  <c:v>79432.823472425283</c:v>
                </c:pt>
                <c:pt idx="196" formatCode="0">
                  <c:v>83176.377110263929</c:v>
                </c:pt>
                <c:pt idx="197" formatCode="0">
                  <c:v>87096.358995604722</c:v>
                </c:pt>
                <c:pt idx="198" formatCode="0">
                  <c:v>91201.083935587303</c:v>
                </c:pt>
                <c:pt idx="199" formatCode="0">
                  <c:v>95499.258602139729</c:v>
                </c:pt>
                <c:pt idx="200" formatCode="General">
                  <c:v>99999.999999995751</c:v>
                </c:pt>
                <c:pt idx="201" formatCode="0">
                  <c:v>104712.85480508549</c:v>
                </c:pt>
                <c:pt idx="202" formatCode="0">
                  <c:v>109647.81961431362</c:v>
                </c:pt>
                <c:pt idx="203" formatCode="0">
                  <c:v>114815.36214968313</c:v>
                </c:pt>
                <c:pt idx="204" formatCode="0">
                  <c:v>120226.44346173588</c:v>
                </c:pt>
                <c:pt idx="205" formatCode="0">
                  <c:v>125892.54117941081</c:v>
                </c:pt>
                <c:pt idx="206" formatCode="0">
                  <c:v>131825.67385563449</c:v>
                </c:pt>
                <c:pt idx="207" formatCode="0">
                  <c:v>138038.42646028171</c:v>
                </c:pt>
                <c:pt idx="208" formatCode="0">
                  <c:v>144543.97707458562</c:v>
                </c:pt>
                <c:pt idx="209" formatCode="0">
                  <c:v>151356.12484361307</c:v>
                </c:pt>
                <c:pt idx="210" formatCode="0">
                  <c:v>158489.3192461032</c:v>
                </c:pt>
                <c:pt idx="211" formatCode="0">
                  <c:v>165958.6907437472</c:v>
                </c:pt>
                <c:pt idx="212" formatCode="0">
                  <c:v>173780.08287492822</c:v>
                </c:pt>
                <c:pt idx="213" formatCode="0">
                  <c:v>181970.08586098856</c:v>
                </c:pt>
                <c:pt idx="214" formatCode="0">
                  <c:v>190546.07179631409</c:v>
                </c:pt>
                <c:pt idx="215" formatCode="0">
                  <c:v>199526.2314968768</c:v>
                </c:pt>
                <c:pt idx="216" formatCode="0">
                  <c:v>208929.61308539184</c:v>
                </c:pt>
                <c:pt idx="217" formatCode="0">
                  <c:v>218776.16239494254</c:v>
                </c:pt>
                <c:pt idx="218" formatCode="0">
                  <c:v>229086.76527676353</c:v>
                </c:pt>
                <c:pt idx="219" formatCode="0">
                  <c:v>239883.2919019346</c:v>
                </c:pt>
                <c:pt idx="220" formatCode="0">
                  <c:v>251188.64315094237</c:v>
                </c:pt>
                <c:pt idx="221" formatCode="0">
                  <c:v>263026.79918952176</c:v>
                </c:pt>
                <c:pt idx="222" formatCode="0">
                  <c:v>275422.87033379939</c:v>
                </c:pt>
                <c:pt idx="223" formatCode="0">
                  <c:v>288403.15031264198</c:v>
                </c:pt>
                <c:pt idx="224" formatCode="0">
                  <c:v>301995.17204018205</c:v>
                </c:pt>
                <c:pt idx="225" formatCode="0">
                  <c:v>316227.76601681684</c:v>
                </c:pt>
                <c:pt idx="226" formatCode="0">
                  <c:v>331131.12148256891</c:v>
                </c:pt>
                <c:pt idx="227" formatCode="0">
                  <c:v>346736.85045250773</c:v>
                </c:pt>
                <c:pt idx="228" formatCode="0">
                  <c:v>363078.05477007624</c:v>
                </c:pt>
                <c:pt idx="229" formatCode="0">
                  <c:v>380189.39632053417</c:v>
                </c:pt>
                <c:pt idx="230" formatCode="0">
                  <c:v>398107.17055346887</c:v>
                </c:pt>
                <c:pt idx="231" formatCode="0">
                  <c:v>416869.38347030559</c:v>
                </c:pt>
                <c:pt idx="232" formatCode="0">
                  <c:v>436515.8322401339</c:v>
                </c:pt>
                <c:pt idx="233" formatCode="0">
                  <c:v>457088.18961484137</c:v>
                </c:pt>
                <c:pt idx="234" formatCode="0">
                  <c:v>478630.09232260217</c:v>
                </c:pt>
                <c:pt idx="235" formatCode="0">
                  <c:v>501187.23362723429</c:v>
                </c:pt>
                <c:pt idx="236" formatCode="0">
                  <c:v>524807.46024973178</c:v>
                </c:pt>
                <c:pt idx="237" formatCode="0">
                  <c:v>549540.87385758176</c:v>
                </c:pt>
                <c:pt idx="238" formatCode="0">
                  <c:v>575439.93733711203</c:v>
                </c:pt>
                <c:pt idx="239" formatCode="0">
                  <c:v>602559.58607430954</c:v>
                </c:pt>
                <c:pt idx="240" formatCode="0">
                  <c:v>630957.34448014258</c:v>
                </c:pt>
                <c:pt idx="241" formatCode="0">
                  <c:v>660693.44800754171</c:v>
                </c:pt>
                <c:pt idx="242" formatCode="0">
                  <c:v>691830.9709188795</c:v>
                </c:pt>
                <c:pt idx="243" formatCode="0">
                  <c:v>724435.96007492894</c:v>
                </c:pt>
                <c:pt idx="244" formatCode="0">
                  <c:v>758577.57502911962</c:v>
                </c:pt>
                <c:pt idx="245" formatCode="0">
                  <c:v>794328.23472421279</c:v>
                </c:pt>
                <c:pt idx="246" formatCode="0">
                  <c:v>831763.77110259887</c:v>
                </c:pt>
                <c:pt idx="247" formatCode="0">
                  <c:v>870963.58995600487</c:v>
                </c:pt>
                <c:pt idx="248" formatCode="0">
                  <c:v>912010.83935582871</c:v>
                </c:pt>
                <c:pt idx="249" formatCode="0">
                  <c:v>954992.58602135081</c:v>
                </c:pt>
                <c:pt idx="250" formatCode="General">
                  <c:v>999999.99999990896</c:v>
                </c:pt>
              </c:numCache>
            </c:numRef>
          </c:xVal>
          <c:yVal>
            <c:numRef>
              <c:f>'Input and Results'!$E$80:$E$330</c:f>
              <c:numCache>
                <c:formatCode>General</c:formatCode>
                <c:ptCount val="251"/>
                <c:pt idx="0" formatCode="0.000">
                  <c:v>168.32318093767816</c:v>
                </c:pt>
                <c:pt idx="1">
                  <c:v>167.78935181931396</c:v>
                </c:pt>
                <c:pt idx="2">
                  <c:v>167.23271109951401</c:v>
                </c:pt>
                <c:pt idx="3">
                  <c:v>166.65250795042559</c:v>
                </c:pt>
                <c:pt idx="4">
                  <c:v>166.04799852480423</c:v>
                </c:pt>
                <c:pt idx="5">
                  <c:v>165.4184512355865</c:v>
                </c:pt>
                <c:pt idx="6">
                  <c:v>164.76315272362572</c:v>
                </c:pt>
                <c:pt idx="7">
                  <c:v>164.08141455136163</c:v>
                </c:pt>
                <c:pt idx="8">
                  <c:v>163.37258065246269</c:v>
                </c:pt>
                <c:pt idx="9">
                  <c:v>162.63603555682872</c:v>
                </c:pt>
                <c:pt idx="10">
                  <c:v>161.87121339632498</c:v>
                </c:pt>
                <c:pt idx="11">
                  <c:v>161.0776076788396</c:v>
                </c:pt>
                <c:pt idx="12">
                  <c:v>160.25478179637204</c:v>
                </c:pt>
                <c:pt idx="13">
                  <c:v>159.4023802066898</c:v>
                </c:pt>
                <c:pt idx="14">
                  <c:v>158.52014019754355</c:v>
                </c:pt>
                <c:pt idx="15">
                  <c:v>157.60790410776912</c:v>
                </c:pt>
                <c:pt idx="16">
                  <c:v>156.66563184129433</c:v>
                </c:pt>
                <c:pt idx="17">
                  <c:v>155.69341346902402</c:v>
                </c:pt>
                <c:pt idx="18">
                  <c:v>154.69148167113244</c:v>
                </c:pt>
                <c:pt idx="19">
                  <c:v>153.66022373023767</c:v>
                </c:pt>
                <c:pt idx="20">
                  <c:v>152.60019274658598</c:v>
                </c:pt>
                <c:pt idx="21">
                  <c:v>151.51211771248055</c:v>
                </c:pt>
                <c:pt idx="22">
                  <c:v>150.39691205784479</c:v>
                </c:pt>
                <c:pt idx="23">
                  <c:v>149.25568026535609</c:v>
                </c:pt>
                <c:pt idx="24">
                  <c:v>148.08972215526538</c:v>
                </c:pt>
                <c:pt idx="25">
                  <c:v>146.90053445983679</c:v>
                </c:pt>
                <c:pt idx="26">
                  <c:v>145.68980934753603</c:v>
                </c:pt>
                <c:pt idx="27">
                  <c:v>144.45942961898223</c:v>
                </c:pt>
                <c:pt idx="28">
                  <c:v>143.21146038009726</c:v>
                </c:pt>
                <c:pt idx="29">
                  <c:v>141.94813710112075</c:v>
                </c:pt>
                <c:pt idx="30">
                  <c:v>140.67185008963855</c:v>
                </c:pt>
                <c:pt idx="31">
                  <c:v>139.38512553623602</c:v>
                </c:pt>
                <c:pt idx="32">
                  <c:v>138.09060342596484</c:v>
                </c:pt>
                <c:pt idx="33">
                  <c:v>136.79101273964702</c:v>
                </c:pt>
                <c:pt idx="34">
                  <c:v>135.48914448769364</c:v>
                </c:pt>
                <c:pt idx="35">
                  <c:v>134.18782321752886</c:v>
                </c:pt>
                <c:pt idx="36">
                  <c:v>132.88987770684773</c:v>
                </c:pt>
                <c:pt idx="37">
                  <c:v>131.59811159349462</c:v>
                </c:pt>
                <c:pt idx="38">
                  <c:v>130.31527469592686</c:v>
                </c:pt>
                <c:pt idx="39">
                  <c:v>129.04403574566027</c:v>
                </c:pt>
                <c:pt idx="40">
                  <c:v>127.78695718736121</c:v>
                </c:pt>
                <c:pt idx="41">
                  <c:v>126.54647260810157</c:v>
                </c:pt>
                <c:pt idx="42">
                  <c:v>125.32486724161897</c:v>
                </c:pt>
                <c:pt idx="43">
                  <c:v>124.1242618640953</c:v>
                </c:pt>
                <c:pt idx="44">
                  <c:v>122.94660026342071</c:v>
                </c:pt>
                <c:pt idx="45">
                  <c:v>121.79364033221373</c:v>
                </c:pt>
                <c:pt idx="46">
                  <c:v>120.66694871297003</c:v>
                </c:pt>
                <c:pt idx="47">
                  <c:v>119.56789881735476</c:v>
                </c:pt>
                <c:pt idx="48">
                  <c:v>118.49767195452738</c:v>
                </c:pt>
                <c:pt idx="49">
                  <c:v>117.45726123767321</c:v>
                </c:pt>
                <c:pt idx="50">
                  <c:v>116.44747789393786</c:v>
                </c:pt>
                <c:pt idx="51">
                  <c:v>115.46895957967897</c:v>
                </c:pt>
                <c:pt idx="52">
                  <c:v>114.52218029823807</c:v>
                </c:pt>
                <c:pt idx="53">
                  <c:v>113.60746152842299</c:v>
                </c:pt>
                <c:pt idx="54">
                  <c:v>112.72498419532783</c:v>
                </c:pt>
                <c:pt idx="55">
                  <c:v>111.8748011476668</c:v>
                </c:pt>
                <c:pt idx="56">
                  <c:v>111.05684984431819</c:v>
                </c:pt>
                <c:pt idx="57">
                  <c:v>110.27096499443454</c:v>
                </c:pt>
                <c:pt idx="58">
                  <c:v>109.51689093788374</c:v>
                </c:pt>
                <c:pt idx="59">
                  <c:v>108.79429359406775</c:v>
                </c:pt>
                <c:pt idx="60">
                  <c:v>108.10277184588678</c:v>
                </c:pt>
                <c:pt idx="61">
                  <c:v>107.44186826082741</c:v>
                </c:pt>
                <c:pt idx="62">
                  <c:v>106.81107908227594</c:v>
                </c:pt>
                <c:pt idx="63">
                  <c:v>106.20986345093183</c:v>
                </c:pt>
                <c:pt idx="64">
                  <c:v>105.63765183864199</c:v>
                </c:pt>
                <c:pt idx="65">
                  <c:v>105.09385369526187</c:v>
                </c:pt>
                <c:pt idx="66">
                  <c:v>104.57786432361586</c:v>
                </c:pt>
                <c:pt idx="67">
                  <c:v>104.0890710086537</c:v>
                </c:pt>
                <c:pt idx="68">
                  <c:v>103.62685843492629</c:v>
                </c:pt>
                <c:pt idx="69">
                  <c:v>103.19061343199127</c:v>
                </c:pt>
                <c:pt idx="70">
                  <c:v>102.77972909071606</c:v>
                </c:pt>
                <c:pt idx="71">
                  <c:v>102.39360829511062</c:v>
                </c:pt>
                <c:pt idx="72">
                  <c:v>102.03166671463521</c:v>
                </c:pt>
                <c:pt idx="73">
                  <c:v>101.69333530126457</c:v>
                </c:pt>
                <c:pt idx="74">
                  <c:v>101.37806233419585</c:v>
                </c:pt>
                <c:pt idx="75">
                  <c:v>101.08531505326847</c:v>
                </c:pt>
                <c:pt idx="76">
                  <c:v>100.81458092010656</c:v>
                </c:pt>
                <c:pt idx="77">
                  <c:v>100.56536854390004</c:v>
                </c:pt>
                <c:pt idx="78">
                  <c:v>100.33720830677714</c:v>
                </c:pt>
                <c:pt idx="79">
                  <c:v>100.12965272201431</c:v>
                </c:pt>
                <c:pt idx="80">
                  <c:v>99.94227655698819</c:v>
                </c:pt>
                <c:pt idx="81">
                  <c:v>99.774676751899818</c:v>
                </c:pt>
                <c:pt idx="82">
                  <c:v>99.626472164941632</c:v>
                </c:pt>
                <c:pt idx="83">
                  <c:v>99.49730317477848</c:v>
                </c:pt>
                <c:pt idx="84">
                  <c:v>99.38683117197175</c:v>
                </c:pt>
                <c:pt idx="85">
                  <c:v>99.294737972262737</c:v>
                </c:pt>
                <c:pt idx="86">
                  <c:v>99.22072518636719</c:v>
                </c:pt>
                <c:pt idx="87">
                  <c:v>99.164513582974379</c:v>
                </c:pt>
                <c:pt idx="88">
                  <c:v>99.125842483807645</c:v>
                </c:pt>
                <c:pt idx="89">
                  <c:v>99.104469231614445</c:v>
                </c:pt>
                <c:pt idx="90">
                  <c:v>99.100168773475147</c:v>
                </c:pt>
                <c:pt idx="91">
                  <c:v>99.112733402443169</c:v>
                </c:pt>
                <c:pt idx="92">
                  <c:v>99.141972699777767</c:v>
                </c:pt>
                <c:pt idx="93">
                  <c:v>99.187713717403156</c:v>
                </c:pt>
                <c:pt idx="94">
                  <c:v>99.249801435182832</c:v>
                </c:pt>
                <c:pt idx="95">
                  <c:v>99.328099519676314</c:v>
                </c:pt>
                <c:pt idx="96">
                  <c:v>99.422491399822874</c:v>
                </c:pt>
                <c:pt idx="97">
                  <c:v>99.532881660277184</c:v>
                </c:pt>
                <c:pt idx="98">
                  <c:v>99.659197734878546</c:v>
                </c:pt>
                <c:pt idx="99">
                  <c:v>99.801391861274908</c:v>
                </c:pt>
                <c:pt idx="100">
                  <c:v>99.959443233678471</c:v>
                </c:pt>
                <c:pt idx="101">
                  <c:v>100.13336026511004</c:v>
                </c:pt>
                <c:pt idx="102">
                  <c:v>100.32318284459696</c:v>
                </c:pt>
                <c:pt idx="103">
                  <c:v>100.52898445022784</c:v>
                </c:pt>
                <c:pt idx="104">
                  <c:v>100.75087395744816</c:v>
                </c:pt>
                <c:pt idx="105">
                  <c:v>100.98899696513801</c:v>
                </c:pt>
                <c:pt idx="106">
                  <c:v>101.24353645127978</c:v>
                </c:pt>
                <c:pt idx="107">
                  <c:v>101.51471256631484</c:v>
                </c:pt>
                <c:pt idx="108">
                  <c:v>101.8027813758837</c:v>
                </c:pt>
                <c:pt idx="109">
                  <c:v>102.10803237508433</c:v>
                </c:pt>
                <c:pt idx="110">
                  <c:v>102.43078461233944</c:v>
                </c:pt>
                <c:pt idx="111">
                  <c:v>102.77138128041874</c:v>
                </c:pt>
                <c:pt idx="112">
                  <c:v>103.13018265250822</c:v>
                </c:pt>
                <c:pt idx="113">
                  <c:v>103.50755725947839</c:v>
                </c:pt>
                <c:pt idx="114">
                  <c:v>103.90387121771271</c:v>
                </c:pt>
                <c:pt idx="115">
                  <c:v>104.31947562225513</c:v>
                </c:pt>
                <c:pt idx="116">
                  <c:v>104.75469191529916</c:v>
                </c:pt>
                <c:pt idx="117">
                  <c:v>105.20979512360356</c:v>
                </c:pt>
                <c:pt idx="118">
                  <c:v>105.68499482926143</c:v>
                </c:pt>
                <c:pt idx="119">
                  <c:v>106.18041369613444</c:v>
                </c:pt>
                <c:pt idx="120">
                  <c:v>106.6960633193286</c:v>
                </c:pt>
                <c:pt idx="121">
                  <c:v>107.23181709790087</c:v>
                </c:pt>
                <c:pt idx="122">
                  <c:v>107.78737975199662</c:v>
                </c:pt>
                <c:pt idx="123">
                  <c:v>108.36225301521145</c:v>
                </c:pt>
                <c:pt idx="124">
                  <c:v>108.95569693098749</c:v>
                </c:pt>
                <c:pt idx="125">
                  <c:v>109.56668606752025</c:v>
                </c:pt>
                <c:pt idx="126">
                  <c:v>110.19385983750604</c:v>
                </c:pt>
                <c:pt idx="127">
                  <c:v>110.83546596468692</c:v>
                </c:pt>
                <c:pt idx="128">
                  <c:v>111.48929597558626</c:v>
                </c:pt>
                <c:pt idx="129">
                  <c:v>112.15261140838598</c:v>
                </c:pt>
                <c:pt idx="130">
                  <c:v>112.82205921802057</c:v>
                </c:pt>
                <c:pt idx="131">
                  <c:v>113.49357461448029</c:v>
                </c:pt>
                <c:pt idx="132">
                  <c:v>114.16226929988906</c:v>
                </c:pt>
                <c:pt idx="133">
                  <c:v>114.82230277465892</c:v>
                </c:pt>
                <c:pt idx="134">
                  <c:v>115.46673408015161</c:v>
                </c:pt>
                <c:pt idx="135">
                  <c:v>116.08735107096297</c:v>
                </c:pt>
                <c:pt idx="136">
                  <c:v>116.67447413500294</c:v>
                </c:pt>
                <c:pt idx="137">
                  <c:v>117.21673133474687</c:v>
                </c:pt>
                <c:pt idx="138">
                  <c:v>117.70080245963227</c:v>
                </c:pt>
                <c:pt idx="139">
                  <c:v>118.11113085488432</c:v>
                </c:pt>
                <c:pt idx="140">
                  <c:v>118.42960479132782</c:v>
                </c:pt>
                <c:pt idx="141">
                  <c:v>118.63521565028222</c:v>
                </c:pt>
                <c:pt idx="142">
                  <c:v>118.70371003947834</c:v>
                </c:pt>
                <c:pt idx="143">
                  <c:v>118.60726975442554</c:v>
                </c:pt>
                <c:pt idx="144">
                  <c:v>118.31428102251731</c:v>
                </c:pt>
                <c:pt idx="145">
                  <c:v>117.78929759565307</c:v>
                </c:pt>
                <c:pt idx="146">
                  <c:v>116.99336607148618</c:v>
                </c:pt>
                <c:pt idx="147">
                  <c:v>115.88496850197174</c:v>
                </c:pt>
                <c:pt idx="148">
                  <c:v>114.42193861118704</c:v>
                </c:pt>
                <c:pt idx="149">
                  <c:v>112.56479027779044</c:v>
                </c:pt>
                <c:pt idx="150">
                  <c:v>110.2818796290303</c:v>
                </c:pt>
                <c:pt idx="151">
                  <c:v>107.55656050056925</c:v>
                </c:pt>
                <c:pt idx="152">
                  <c:v>104.39580790204265</c:v>
                </c:pt>
                <c:pt idx="153">
                  <c:v>100.83860812039792</c:v>
                </c:pt>
                <c:pt idx="154">
                  <c:v>96.961081780376489</c:v>
                </c:pt>
                <c:pt idx="155">
                  <c:v>92.874774401265626</c:v>
                </c:pt>
                <c:pt idx="156">
                  <c:v>88.716005910383217</c:v>
                </c:pt>
                <c:pt idx="157">
                  <c:v>84.627768117603864</c:v>
                </c:pt>
                <c:pt idx="158">
                  <c:v>80.739486679475178</c:v>
                </c:pt>
                <c:pt idx="159">
                  <c:v>77.15116454847356</c:v>
                </c:pt>
                <c:pt idx="160">
                  <c:v>73.926002327479111</c:v>
                </c:pt>
                <c:pt idx="161">
                  <c:v>71.091511881522649</c:v>
                </c:pt>
                <c:pt idx="162">
                  <c:v>68.646209059842604</c:v>
                </c:pt>
                <c:pt idx="163">
                  <c:v>66.56834010848695</c:v>
                </c:pt>
                <c:pt idx="164">
                  <c:v>64.8240626038816</c:v>
                </c:pt>
                <c:pt idx="165">
                  <c:v>63.373854690648585</c:v>
                </c:pt>
                <c:pt idx="166">
                  <c:v>62.176934949844082</c:v>
                </c:pt>
                <c:pt idx="167">
                  <c:v>61.193988286507931</c:v>
                </c:pt>
                <c:pt idx="168">
                  <c:v>60.388645730134954</c:v>
                </c:pt>
                <c:pt idx="169">
                  <c:v>59.728133841732642</c:v>
                </c:pt>
                <c:pt idx="170">
                  <c:v>59.18341369758312</c:v>
                </c:pt>
                <c:pt idx="171">
                  <c:v>58.729031095190351</c:v>
                </c:pt>
                <c:pt idx="172">
                  <c:v>58.342820855138825</c:v>
                </c:pt>
                <c:pt idx="173">
                  <c:v>58.005552103228609</c:v>
                </c:pt>
                <c:pt idx="174">
                  <c:v>57.700564409891939</c:v>
                </c:pt>
                <c:pt idx="175">
                  <c:v>57.413421429638873</c:v>
                </c:pt>
                <c:pt idx="176">
                  <c:v>57.131594705666316</c:v>
                </c:pt>
                <c:pt idx="177">
                  <c:v>56.844182248541728</c:v>
                </c:pt>
                <c:pt idx="178">
                  <c:v>56.541662095326558</c:v>
                </c:pt>
                <c:pt idx="179">
                  <c:v>56.215678840421646</c:v>
                </c:pt>
                <c:pt idx="180">
                  <c:v>55.858860185912505</c:v>
                </c:pt>
                <c:pt idx="181">
                  <c:v>55.464660330223182</c:v>
                </c:pt>
                <c:pt idx="182">
                  <c:v>55.027227168575251</c:v>
                </c:pt>
                <c:pt idx="183">
                  <c:v>54.541290625267266</c:v>
                </c:pt>
                <c:pt idx="184">
                  <c:v>54.002069868148851</c:v>
                </c:pt>
                <c:pt idx="185">
                  <c:v>53.405197610915138</c:v>
                </c:pt>
                <c:pt idx="186">
                  <c:v>52.746660158136507</c:v>
                </c:pt>
                <c:pt idx="187">
                  <c:v>52.022752275037703</c:v>
                </c:pt>
                <c:pt idx="188">
                  <c:v>51.230046359254374</c:v>
                </c:pt>
                <c:pt idx="189">
                  <c:v>50.365375746630548</c:v>
                </c:pt>
                <c:pt idx="190">
                  <c:v>49.425832286325146</c:v>
                </c:pt>
                <c:pt idx="191">
                  <c:v>48.408778555580682</c:v>
                </c:pt>
                <c:pt idx="192">
                  <c:v>47.311875227603309</c:v>
                </c:pt>
                <c:pt idx="193">
                  <c:v>46.13312412450469</c:v>
                </c:pt>
                <c:pt idx="194">
                  <c:v>44.870927340055431</c:v>
                </c:pt>
                <c:pt idx="195">
                  <c:v>43.52416245591354</c:v>
                </c:pt>
                <c:pt idx="196">
                  <c:v>42.092273249602982</c:v>
                </c:pt>
                <c:pt idx="197">
                  <c:v>40.575374358478996</c:v>
                </c:pt>
                <c:pt idx="198">
                  <c:v>38.974367096031415</c:v>
                </c:pt>
                <c:pt idx="199">
                  <c:v>37.291062027048639</c:v>
                </c:pt>
                <c:pt idx="200">
                  <c:v>35.528302066589845</c:v>
                </c:pt>
                <c:pt idx="201">
                  <c:v>33.690077923641383</c:v>
                </c:pt>
                <c:pt idx="202">
                  <c:v>31.781625905694881</c:v>
                </c:pt>
                <c:pt idx="203">
                  <c:v>29.809496766762749</c:v>
                </c:pt>
                <c:pt idx="204">
                  <c:v>27.781583809946142</c:v>
                </c:pt>
                <c:pt idx="205">
                  <c:v>25.707099234679646</c:v>
                </c:pt>
                <c:pt idx="206">
                  <c:v>23.596490038426481</c:v>
                </c:pt>
                <c:pt idx="207">
                  <c:v>21.461288725533109</c:v>
                </c:pt>
                <c:pt idx="208">
                  <c:v>19.313899422462129</c:v>
                </c:pt>
                <c:pt idx="209">
                  <c:v>17.167326188280072</c:v>
                </c:pt>
                <c:pt idx="210">
                  <c:v>15.034856490374494</c:v>
                </c:pt>
                <c:pt idx="211">
                  <c:v>12.92971799463146</c:v>
                </c:pt>
                <c:pt idx="212">
                  <c:v>10.864730081964439</c:v>
                </c:pt>
                <c:pt idx="213">
                  <c:v>8.8519722429341527</c:v>
                </c:pt>
                <c:pt idx="214">
                  <c:v>6.902489583579495</c:v>
                </c:pt>
                <c:pt idx="215">
                  <c:v>5.0260514705532273</c:v>
                </c:pt>
                <c:pt idx="216">
                  <c:v>3.2309736293889273</c:v>
                </c:pt>
                <c:pt idx="217">
                  <c:v>1.52400776456318</c:v>
                </c:pt>
                <c:pt idx="218">
                  <c:v>-8.9703060758921538E-2</c:v>
                </c:pt>
                <c:pt idx="219">
                  <c:v>-1.6066097434981828</c:v>
                </c:pt>
                <c:pt idx="220">
                  <c:v>-3.0246927837576152</c:v>
                </c:pt>
                <c:pt idx="221">
                  <c:v>-4.3433594537675049</c:v>
                </c:pt>
                <c:pt idx="222">
                  <c:v>-5.5633138736675676</c:v>
                </c:pt>
                <c:pt idx="223">
                  <c:v>-6.6864105064460375</c:v>
                </c:pt>
                <c:pt idx="224">
                  <c:v>-7.7155000624207162</c:v>
                </c:pt>
                <c:pt idx="225">
                  <c:v>-8.6542749899499256</c:v>
                </c:pt>
                <c:pt idx="226">
                  <c:v>-9.5071199052972446</c:v>
                </c:pt>
                <c:pt idx="227">
                  <c:v>-10.278970667499053</c:v>
                </c:pt>
                <c:pt idx="228">
                  <c:v>-10.975184432500853</c:v>
                </c:pt>
                <c:pt idx="229">
                  <c:v>-11.601421954298786</c:v>
                </c:pt>
                <c:pt idx="230">
                  <c:v>-12.163542622104913</c:v>
                </c:pt>
                <c:pt idx="231">
                  <c:v>-12.667512188239215</c:v>
                </c:pt>
                <c:pt idx="232">
                  <c:v>-13.119322797899258</c:v>
                </c:pt>
                <c:pt idx="233">
                  <c:v>-13.524924726523665</c:v>
                </c:pt>
                <c:pt idx="234">
                  <c:v>-13.890169117644945</c:v>
                </c:pt>
                <c:pt idx="235">
                  <c:v>-14.220760958417088</c:v>
                </c:pt>
                <c:pt idx="236">
                  <c:v>-14.522221506413103</c:v>
                </c:pt>
                <c:pt idx="237">
                  <c:v>-14.799859373712749</c:v>
                </c:pt>
                <c:pt idx="238">
                  <c:v>-15.058749474152449</c:v>
                </c:pt>
                <c:pt idx="239">
                  <c:v>-15.303719043304227</c:v>
                </c:pt>
                <c:pt idx="240">
                  <c:v>-15.539339947924603</c:v>
                </c:pt>
                <c:pt idx="241">
                  <c:v>-15.769926513584409</c:v>
                </c:pt>
                <c:pt idx="242">
                  <c:v>-15.99953811764253</c:v>
                </c:pt>
                <c:pt idx="243">
                  <c:v>-16.231985821038251</c:v>
                </c:pt>
                <c:pt idx="244">
                  <c:v>-16.470842347194335</c:v>
                </c:pt>
                <c:pt idx="245">
                  <c:v>-16.719454759430064</c:v>
                </c:pt>
                <c:pt idx="246">
                  <c:v>-16.980959238687277</c:v>
                </c:pt>
                <c:pt idx="247">
                  <c:v>-17.258297419452106</c:v>
                </c:pt>
                <c:pt idx="248">
                  <c:v>-17.554233801572025</c:v>
                </c:pt>
                <c:pt idx="249">
                  <c:v>-17.871373817078251</c:v>
                </c:pt>
                <c:pt idx="250">
                  <c:v>-18.212182192107349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38-4263-82CD-5259232AA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268631887"/>
        <c:scaling>
          <c:logBase val="10"/>
          <c:orientation val="minMax"/>
          <c:max val="10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Frequency - Hz</a:t>
                </a:r>
              </a:p>
            </c:rich>
          </c:tx>
          <c:layout>
            <c:manualLayout>
              <c:xMode val="edge"/>
              <c:yMode val="edge"/>
              <c:x val="0.38770053475935828"/>
              <c:y val="0.804416403785488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100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Gain - dB</a:t>
                </a:r>
              </a:p>
            </c:rich>
          </c:tx>
          <c:layout>
            <c:manualLayout>
              <c:xMode val="edge"/>
              <c:yMode val="edge"/>
              <c:x val="4.2780748663101602E-2"/>
              <c:y val="0.378548895899053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8631887"/>
        <c:crosses val="autoZero"/>
        <c:crossBetween val="midCat"/>
        <c:majorUnit val="20"/>
        <c:minorUnit val="4"/>
      </c:valAx>
      <c:valAx>
        <c:axId val="3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Phase - °</a:t>
                </a:r>
              </a:p>
            </c:rich>
          </c:tx>
          <c:layout>
            <c:manualLayout>
              <c:xMode val="edge"/>
              <c:yMode val="edge"/>
              <c:x val="0.90106951871657759"/>
              <c:y val="0.378548895899053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midCat"/>
        <c:majorUnit val="4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3957219251336901"/>
          <c:y val="0.90851735015772872"/>
          <c:w val="0.32352941176470584"/>
          <c:h val="6.94006309148265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plus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Sheet1!$H$1:$H$47</c:f>
              <c:numCache>
                <c:formatCode>General</c:formatCode>
                <c:ptCount val="47"/>
                <c:pt idx="0">
                  <c:v>100</c:v>
                </c:pt>
                <c:pt idx="1">
                  <c:v>120</c:v>
                </c:pt>
                <c:pt idx="2">
                  <c:v>140</c:v>
                </c:pt>
                <c:pt idx="3">
                  <c:v>160</c:v>
                </c:pt>
                <c:pt idx="4">
                  <c:v>180</c:v>
                </c:pt>
                <c:pt idx="5">
                  <c:v>200</c:v>
                </c:pt>
                <c:pt idx="6">
                  <c:v>220</c:v>
                </c:pt>
                <c:pt idx="7">
                  <c:v>240</c:v>
                </c:pt>
                <c:pt idx="8">
                  <c:v>260</c:v>
                </c:pt>
                <c:pt idx="9">
                  <c:v>280</c:v>
                </c:pt>
                <c:pt idx="10">
                  <c:v>300</c:v>
                </c:pt>
                <c:pt idx="11">
                  <c:v>320</c:v>
                </c:pt>
                <c:pt idx="12">
                  <c:v>340</c:v>
                </c:pt>
                <c:pt idx="13">
                  <c:v>360</c:v>
                </c:pt>
                <c:pt idx="14">
                  <c:v>380</c:v>
                </c:pt>
                <c:pt idx="15">
                  <c:v>400</c:v>
                </c:pt>
                <c:pt idx="16">
                  <c:v>420</c:v>
                </c:pt>
                <c:pt idx="17">
                  <c:v>440</c:v>
                </c:pt>
                <c:pt idx="18">
                  <c:v>460</c:v>
                </c:pt>
                <c:pt idx="19">
                  <c:v>480</c:v>
                </c:pt>
                <c:pt idx="20">
                  <c:v>500</c:v>
                </c:pt>
                <c:pt idx="21">
                  <c:v>520</c:v>
                </c:pt>
                <c:pt idx="22">
                  <c:v>540</c:v>
                </c:pt>
                <c:pt idx="23">
                  <c:v>560</c:v>
                </c:pt>
                <c:pt idx="24">
                  <c:v>580</c:v>
                </c:pt>
                <c:pt idx="25">
                  <c:v>600</c:v>
                </c:pt>
                <c:pt idx="26">
                  <c:v>620</c:v>
                </c:pt>
                <c:pt idx="27">
                  <c:v>640</c:v>
                </c:pt>
                <c:pt idx="28">
                  <c:v>660</c:v>
                </c:pt>
                <c:pt idx="29">
                  <c:v>680</c:v>
                </c:pt>
                <c:pt idx="30">
                  <c:v>700</c:v>
                </c:pt>
                <c:pt idx="31">
                  <c:v>720</c:v>
                </c:pt>
                <c:pt idx="32">
                  <c:v>740</c:v>
                </c:pt>
                <c:pt idx="33">
                  <c:v>760</c:v>
                </c:pt>
                <c:pt idx="34">
                  <c:v>780</c:v>
                </c:pt>
                <c:pt idx="35">
                  <c:v>800</c:v>
                </c:pt>
                <c:pt idx="36">
                  <c:v>820</c:v>
                </c:pt>
                <c:pt idx="37">
                  <c:v>840</c:v>
                </c:pt>
                <c:pt idx="38">
                  <c:v>860</c:v>
                </c:pt>
                <c:pt idx="39">
                  <c:v>880</c:v>
                </c:pt>
                <c:pt idx="40">
                  <c:v>900</c:v>
                </c:pt>
                <c:pt idx="41">
                  <c:v>920</c:v>
                </c:pt>
                <c:pt idx="42">
                  <c:v>940</c:v>
                </c:pt>
                <c:pt idx="43">
                  <c:v>960</c:v>
                </c:pt>
                <c:pt idx="44">
                  <c:v>980</c:v>
                </c:pt>
                <c:pt idx="45">
                  <c:v>990</c:v>
                </c:pt>
                <c:pt idx="46">
                  <c:v>1000</c:v>
                </c:pt>
              </c:numCache>
            </c:numRef>
          </c:xVal>
          <c:yVal>
            <c:numRef>
              <c:f>Sheet1!$I$1:$I$47</c:f>
              <c:numCache>
                <c:formatCode>0.00</c:formatCode>
                <c:ptCount val="47"/>
                <c:pt idx="0">
                  <c:v>544.16722783389457</c:v>
                </c:pt>
                <c:pt idx="1">
                  <c:v>450.63935652824546</c:v>
                </c:pt>
                <c:pt idx="2">
                  <c:v>383.83373416706746</c:v>
                </c:pt>
                <c:pt idx="3">
                  <c:v>333.72951739618412</c:v>
                </c:pt>
                <c:pt idx="4">
                  <c:v>294.75957101883029</c:v>
                </c:pt>
                <c:pt idx="5">
                  <c:v>263.58361391694729</c:v>
                </c:pt>
                <c:pt idx="6">
                  <c:v>238.07601265177021</c:v>
                </c:pt>
                <c:pt idx="7">
                  <c:v>216.81967826412273</c:v>
                </c:pt>
                <c:pt idx="8">
                  <c:v>198.83354916688251</c:v>
                </c:pt>
                <c:pt idx="9">
                  <c:v>183.41686708353373</c:v>
                </c:pt>
                <c:pt idx="10">
                  <c:v>170.05574261129817</c:v>
                </c:pt>
                <c:pt idx="11">
                  <c:v>158.36475869809206</c:v>
                </c:pt>
                <c:pt idx="12">
                  <c:v>148.04918465702781</c:v>
                </c:pt>
                <c:pt idx="13">
                  <c:v>138.87978550941514</c:v>
                </c:pt>
                <c:pt idx="14">
                  <c:v>130.67558627207751</c:v>
                </c:pt>
                <c:pt idx="15">
                  <c:v>123.29180695847364</c:v>
                </c:pt>
                <c:pt idx="16">
                  <c:v>116.61124472235582</c:v>
                </c:pt>
                <c:pt idx="17">
                  <c:v>110.53800632588511</c:v>
                </c:pt>
                <c:pt idx="18">
                  <c:v>104.99287561606403</c:v>
                </c:pt>
                <c:pt idx="19">
                  <c:v>99.909839132061364</c:v>
                </c:pt>
                <c:pt idx="20">
                  <c:v>95.233445566778911</c:v>
                </c:pt>
                <c:pt idx="21">
                  <c:v>90.916774583441253</c:v>
                </c:pt>
                <c:pt idx="22">
                  <c:v>86.919857006276771</c:v>
                </c:pt>
                <c:pt idx="23">
                  <c:v>83.208433541766865</c:v>
                </c:pt>
                <c:pt idx="24">
                  <c:v>79.752970316188708</c:v>
                </c:pt>
                <c:pt idx="25">
                  <c:v>76.527871305649086</c:v>
                </c:pt>
                <c:pt idx="26">
                  <c:v>73.510843199015241</c:v>
                </c:pt>
                <c:pt idx="27">
                  <c:v>70.68237934904603</c:v>
                </c:pt>
                <c:pt idx="28">
                  <c:v>68.025337550590081</c:v>
                </c:pt>
                <c:pt idx="29">
                  <c:v>65.524592328513904</c:v>
                </c:pt>
                <c:pt idx="30">
                  <c:v>63.166746833413512</c:v>
                </c:pt>
                <c:pt idx="31">
                  <c:v>60.939892754707571</c:v>
                </c:pt>
                <c:pt idx="32">
                  <c:v>58.833409166742499</c:v>
                </c:pt>
                <c:pt idx="33">
                  <c:v>56.837793136038755</c:v>
                </c:pt>
                <c:pt idx="34">
                  <c:v>54.944516388960835</c:v>
                </c:pt>
                <c:pt idx="35">
                  <c:v>53.145903479236821</c:v>
                </c:pt>
                <c:pt idx="36">
                  <c:v>51.435027784621283</c:v>
                </c:pt>
                <c:pt idx="37">
                  <c:v>49.80562236117791</c:v>
                </c:pt>
                <c:pt idx="38">
                  <c:v>48.252003236499363</c:v>
                </c:pt>
                <c:pt idx="39">
                  <c:v>46.769003162942553</c:v>
                </c:pt>
                <c:pt idx="40">
                  <c:v>45.351914203766057</c:v>
                </c:pt>
                <c:pt idx="41">
                  <c:v>43.996437808032013</c:v>
                </c:pt>
                <c:pt idx="42">
                  <c:v>42.698641258924951</c:v>
                </c:pt>
                <c:pt idx="43">
                  <c:v>41.454919566030682</c:v>
                </c:pt>
                <c:pt idx="44">
                  <c:v>40.261962023866786</c:v>
                </c:pt>
                <c:pt idx="45">
                  <c:v>39.683558367060051</c:v>
                </c:pt>
                <c:pt idx="46">
                  <c:v>39.116722783389456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6-4BD2-A4F4-E9D4C0780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480575"/>
        <c:axId val="973766431"/>
      </c:scatterChart>
      <c:valAx>
        <c:axId val="1266480575"/>
        <c:scaling>
          <c:orientation val="minMax"/>
          <c:max val="1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766431"/>
        <c:crosses val="autoZero"/>
        <c:crossBetween val="midCat"/>
      </c:valAx>
      <c:valAx>
        <c:axId val="97376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48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47625</xdr:rowOff>
    </xdr:from>
    <xdr:to>
      <xdr:col>5</xdr:col>
      <xdr:colOff>819150</xdr:colOff>
      <xdr:row>41</xdr:row>
      <xdr:rowOff>152400</xdr:rowOff>
    </xdr:to>
    <xdr:graphicFrame macro="">
      <xdr:nvGraphicFramePr>
        <xdr:cNvPr id="1382" name="Chart 14">
          <a:extLst>
            <a:ext uri="{FF2B5EF4-FFF2-40B4-BE49-F238E27FC236}">
              <a16:creationId xmlns:a16="http://schemas.microsoft.com/office/drawing/2014/main" id="{785C1441-BFDA-4F82-A14A-FB990B375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704850</xdr:colOff>
      <xdr:row>23</xdr:row>
      <xdr:rowOff>47625</xdr:rowOff>
    </xdr:from>
    <xdr:to>
      <xdr:col>11</xdr:col>
      <xdr:colOff>180975</xdr:colOff>
      <xdr:row>41</xdr:row>
      <xdr:rowOff>152400</xdr:rowOff>
    </xdr:to>
    <xdr:graphicFrame macro="">
      <xdr:nvGraphicFramePr>
        <xdr:cNvPr id="1383" name="Chart 16">
          <a:extLst>
            <a:ext uri="{FF2B5EF4-FFF2-40B4-BE49-F238E27FC236}">
              <a16:creationId xmlns:a16="http://schemas.microsoft.com/office/drawing/2014/main" id="{1EDB4976-6F9A-4F90-8CDA-4708DDF45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57150</xdr:colOff>
      <xdr:row>1</xdr:row>
      <xdr:rowOff>19050</xdr:rowOff>
    </xdr:from>
    <xdr:to>
      <xdr:col>11</xdr:col>
      <xdr:colOff>247650</xdr:colOff>
      <xdr:row>2</xdr:row>
      <xdr:rowOff>38100</xdr:rowOff>
    </xdr:to>
    <xdr:sp macro="" textlink="" fLocksText="0">
      <xdr:nvSpPr>
        <xdr:cNvPr id="1047" name="Text Box 23">
          <a:extLst>
            <a:ext uri="{FF2B5EF4-FFF2-40B4-BE49-F238E27FC236}">
              <a16:creationId xmlns:a16="http://schemas.microsoft.com/office/drawing/2014/main" id="{9536A97A-4F9B-4619-8F65-01CE63381FF6}"/>
            </a:ext>
          </a:extLst>
        </xdr:cNvPr>
        <xdr:cNvSpPr txBox="1">
          <a:spLocks noChangeArrowheads="1"/>
        </xdr:cNvSpPr>
      </xdr:nvSpPr>
      <xdr:spPr bwMode="auto">
        <a:xfrm>
          <a:off x="57150" y="180975"/>
          <a:ext cx="7381875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Votage Mode Continuous Current Non Isolated Buck Loop Compensation</a:t>
          </a:r>
        </a:p>
      </xdr:txBody>
    </xdr:sp>
    <xdr:clientData fLocksWithSheet="0"/>
  </xdr:twoCellAnchor>
  <xdr:twoCellAnchor>
    <xdr:from>
      <xdr:col>11</xdr:col>
      <xdr:colOff>38100</xdr:colOff>
      <xdr:row>6</xdr:row>
      <xdr:rowOff>28575</xdr:rowOff>
    </xdr:from>
    <xdr:to>
      <xdr:col>12</xdr:col>
      <xdr:colOff>381000</xdr:colOff>
      <xdr:row>8</xdr:row>
      <xdr:rowOff>142875</xdr:rowOff>
    </xdr:to>
    <xdr:sp macro="[0]!Copy_resistors" textlink="">
      <xdr:nvSpPr>
        <xdr:cNvPr id="1103" name="Text Box 79">
          <a:extLst>
            <a:ext uri="{FF2B5EF4-FFF2-40B4-BE49-F238E27FC236}">
              <a16:creationId xmlns:a16="http://schemas.microsoft.com/office/drawing/2014/main" id="{FF7F1EF3-6DAB-43B2-8696-7A18239DD617}"/>
            </a:ext>
          </a:extLst>
        </xdr:cNvPr>
        <xdr:cNvSpPr txBox="1">
          <a:spLocks noChangeArrowheads="1"/>
        </xdr:cNvSpPr>
      </xdr:nvSpPr>
      <xdr:spPr bwMode="auto">
        <a:xfrm>
          <a:off x="7229475" y="1152525"/>
          <a:ext cx="676275" cy="447675"/>
        </a:xfrm>
        <a:prstGeom prst="rect">
          <a:avLst/>
        </a:prstGeom>
        <a:solidFill>
          <a:srgbClr val="CCFFCC"/>
        </a:solidFill>
        <a:ln w="19050">
          <a:solidFill>
            <a:srgbClr val="008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 Std. Values to Man. Values</a:t>
          </a:r>
        </a:p>
      </xdr:txBody>
    </xdr:sp>
    <xdr:clientData/>
  </xdr:twoCellAnchor>
  <xdr:twoCellAnchor>
    <xdr:from>
      <xdr:col>12</xdr:col>
      <xdr:colOff>438150</xdr:colOff>
      <xdr:row>6</xdr:row>
      <xdr:rowOff>19050</xdr:rowOff>
    </xdr:from>
    <xdr:to>
      <xdr:col>14</xdr:col>
      <xdr:colOff>352425</xdr:colOff>
      <xdr:row>9</xdr:row>
      <xdr:rowOff>104775</xdr:rowOff>
    </xdr:to>
    <xdr:sp macro="" textlink="">
      <xdr:nvSpPr>
        <xdr:cNvPr id="1105" name="Text Box 81">
          <a:extLst>
            <a:ext uri="{FF2B5EF4-FFF2-40B4-BE49-F238E27FC236}">
              <a16:creationId xmlns:a16="http://schemas.microsoft.com/office/drawing/2014/main" id="{86AE7260-7922-4EEE-B80C-812ECDAD116E}"/>
            </a:ext>
          </a:extLst>
        </xdr:cNvPr>
        <xdr:cNvSpPr txBox="1">
          <a:spLocks noChangeArrowheads="1"/>
        </xdr:cNvSpPr>
      </xdr:nvSpPr>
      <xdr:spPr bwMode="auto">
        <a:xfrm>
          <a:off x="7962900" y="1143000"/>
          <a:ext cx="2057400" cy="581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Green button to the left allows the user to fix the compensation network to the calculated values so that analysis can be done when the PSU parameters are varied.</a:t>
          </a:r>
        </a:p>
      </xdr:txBody>
    </xdr:sp>
    <xdr:clientData/>
  </xdr:twoCellAnchor>
  <xdr:twoCellAnchor editAs="oneCell">
    <xdr:from>
      <xdr:col>11</xdr:col>
      <xdr:colOff>152400</xdr:colOff>
      <xdr:row>9</xdr:row>
      <xdr:rowOff>123825</xdr:rowOff>
    </xdr:from>
    <xdr:to>
      <xdr:col>14</xdr:col>
      <xdr:colOff>76200</xdr:colOff>
      <xdr:row>20</xdr:row>
      <xdr:rowOff>38100</xdr:rowOff>
    </xdr:to>
    <xdr:pic>
      <xdr:nvPicPr>
        <xdr:cNvPr id="1388" name="Picture 117">
          <a:extLst>
            <a:ext uri="{FF2B5EF4-FFF2-40B4-BE49-F238E27FC236}">
              <a16:creationId xmlns:a16="http://schemas.microsoft.com/office/drawing/2014/main" id="{EE9C2B1B-6268-4595-B525-75B5CAF67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43075"/>
          <a:ext cx="2400300" cy="1752600"/>
        </a:xfrm>
        <a:prstGeom prst="rect">
          <a:avLst/>
        </a:prstGeom>
        <a:solidFill>
          <a:srgbClr val="FFFF9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352425</xdr:colOff>
      <xdr:row>9</xdr:row>
      <xdr:rowOff>71436</xdr:rowOff>
    </xdr:from>
    <xdr:to>
      <xdr:col>22</xdr:col>
      <xdr:colOff>1400175</xdr:colOff>
      <xdr:row>42</xdr:row>
      <xdr:rowOff>152399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23E842A7-6E9A-4035-94DC-7889B29D75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414337</xdr:colOff>
      <xdr:row>3</xdr:row>
      <xdr:rowOff>47625</xdr:rowOff>
    </xdr:from>
    <xdr:to>
      <xdr:col>17</xdr:col>
      <xdr:colOff>109537</xdr:colOff>
      <xdr:row>32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DB30B7-3BC7-4C0F-B446-9BC058984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46"/>
  <sheetViews>
    <sheetView topLeftCell="A6" workbookViewId="0">
      <selection activeCell="B3" sqref="B3"/>
    </sheetView>
  </sheetViews>
  <sheetFormatPr defaultRowHeight="12.75" x14ac:dyDescent="0.2"/>
  <cols>
    <col min="1" max="1" width="9.140625" style="1"/>
    <col min="2" max="2" width="85.5703125" style="1" bestFit="1" customWidth="1"/>
    <col min="3" max="16384" width="9.140625" style="1"/>
  </cols>
  <sheetData>
    <row r="1" spans="1:2" ht="18" x14ac:dyDescent="0.25">
      <c r="A1" s="38" t="s">
        <v>80</v>
      </c>
      <c r="B1" s="3"/>
    </row>
    <row r="2" spans="1:2" ht="26.25" thickBot="1" x14ac:dyDescent="0.25">
      <c r="A2" s="3"/>
      <c r="B2" s="39" t="s">
        <v>108</v>
      </c>
    </row>
    <row r="3" spans="1:2" ht="16.5" thickBot="1" x14ac:dyDescent="0.3">
      <c r="A3" s="3"/>
      <c r="B3" s="40" t="s">
        <v>86</v>
      </c>
    </row>
    <row r="4" spans="1:2" x14ac:dyDescent="0.2">
      <c r="A4" s="41">
        <v>1</v>
      </c>
      <c r="B4" s="3" t="s">
        <v>65</v>
      </c>
    </row>
    <row r="5" spans="1:2" x14ac:dyDescent="0.2">
      <c r="A5" s="41">
        <v>2</v>
      </c>
      <c r="B5" s="3" t="s">
        <v>89</v>
      </c>
    </row>
    <row r="6" spans="1:2" x14ac:dyDescent="0.2">
      <c r="A6" s="41">
        <v>3</v>
      </c>
      <c r="B6" s="3" t="s">
        <v>85</v>
      </c>
    </row>
    <row r="7" spans="1:2" x14ac:dyDescent="0.2">
      <c r="A7" s="41">
        <v>4</v>
      </c>
      <c r="B7" s="3" t="s">
        <v>81</v>
      </c>
    </row>
    <row r="8" spans="1:2" x14ac:dyDescent="0.2">
      <c r="A8" s="41">
        <v>5</v>
      </c>
      <c r="B8" s="3" t="s">
        <v>103</v>
      </c>
    </row>
    <row r="9" spans="1:2" ht="5.25" customHeight="1" thickBot="1" x14ac:dyDescent="0.25">
      <c r="A9" s="3"/>
      <c r="B9" s="3"/>
    </row>
    <row r="10" spans="1:2" ht="16.5" thickBot="1" x14ac:dyDescent="0.3">
      <c r="A10" s="3"/>
      <c r="B10" s="40" t="s">
        <v>87</v>
      </c>
    </row>
    <row r="11" spans="1:2" x14ac:dyDescent="0.2">
      <c r="A11" s="3"/>
      <c r="B11" s="42" t="s">
        <v>82</v>
      </c>
    </row>
    <row r="12" spans="1:2" x14ac:dyDescent="0.2">
      <c r="A12" s="3"/>
      <c r="B12" s="43" t="s">
        <v>90</v>
      </c>
    </row>
    <row r="13" spans="1:2" x14ac:dyDescent="0.2">
      <c r="A13" s="3"/>
      <c r="B13" s="43" t="s">
        <v>91</v>
      </c>
    </row>
    <row r="14" spans="1:2" x14ac:dyDescent="0.2">
      <c r="A14" s="3"/>
      <c r="B14" s="43" t="s">
        <v>92</v>
      </c>
    </row>
    <row r="15" spans="1:2" x14ac:dyDescent="0.2">
      <c r="A15" s="3"/>
      <c r="B15" s="42" t="s">
        <v>83</v>
      </c>
    </row>
    <row r="16" spans="1:2" x14ac:dyDescent="0.2">
      <c r="A16" s="3"/>
      <c r="B16" s="43" t="s">
        <v>117</v>
      </c>
    </row>
    <row r="17" spans="1:2" x14ac:dyDescent="0.2">
      <c r="A17" s="3"/>
      <c r="B17" s="43" t="s">
        <v>118</v>
      </c>
    </row>
    <row r="18" spans="1:2" x14ac:dyDescent="0.2">
      <c r="A18" s="3"/>
      <c r="B18" s="42" t="s">
        <v>84</v>
      </c>
    </row>
    <row r="19" spans="1:2" x14ac:dyDescent="0.2">
      <c r="A19" s="3"/>
      <c r="B19" s="43" t="s">
        <v>93</v>
      </c>
    </row>
    <row r="20" spans="1:2" x14ac:dyDescent="0.2">
      <c r="A20" s="3"/>
      <c r="B20" s="43" t="s">
        <v>96</v>
      </c>
    </row>
    <row r="21" spans="1:2" x14ac:dyDescent="0.2">
      <c r="A21" s="3"/>
      <c r="B21" s="43" t="s">
        <v>138</v>
      </c>
    </row>
    <row r="22" spans="1:2" x14ac:dyDescent="0.2">
      <c r="A22" s="3"/>
      <c r="B22" s="43" t="s">
        <v>139</v>
      </c>
    </row>
    <row r="23" spans="1:2" x14ac:dyDescent="0.2">
      <c r="A23" s="3"/>
      <c r="B23" s="43" t="s">
        <v>140</v>
      </c>
    </row>
    <row r="24" spans="1:2" x14ac:dyDescent="0.2">
      <c r="A24" s="3"/>
      <c r="B24" s="43" t="s">
        <v>97</v>
      </c>
    </row>
    <row r="25" spans="1:2" x14ac:dyDescent="0.2">
      <c r="A25" s="3"/>
      <c r="B25" s="42" t="s">
        <v>95</v>
      </c>
    </row>
    <row r="26" spans="1:2" ht="3.75" customHeight="1" thickBot="1" x14ac:dyDescent="0.25">
      <c r="A26" s="3"/>
      <c r="B26" s="3"/>
    </row>
    <row r="27" spans="1:2" ht="16.5" thickBot="1" x14ac:dyDescent="0.3">
      <c r="A27" s="3"/>
      <c r="B27" s="40" t="s">
        <v>88</v>
      </c>
    </row>
    <row r="28" spans="1:2" x14ac:dyDescent="0.2">
      <c r="A28" s="41">
        <v>1</v>
      </c>
      <c r="B28" s="3" t="s">
        <v>102</v>
      </c>
    </row>
    <row r="29" spans="1:2" x14ac:dyDescent="0.2">
      <c r="A29" s="41">
        <v>2</v>
      </c>
      <c r="B29" s="3" t="s">
        <v>120</v>
      </c>
    </row>
    <row r="30" spans="1:2" x14ac:dyDescent="0.2">
      <c r="A30" s="41"/>
      <c r="B30" s="41" t="s">
        <v>179</v>
      </c>
    </row>
    <row r="31" spans="1:2" x14ac:dyDescent="0.2">
      <c r="A31" s="41"/>
      <c r="B31" s="41" t="s">
        <v>182</v>
      </c>
    </row>
    <row r="32" spans="1:2" x14ac:dyDescent="0.2">
      <c r="A32" s="41">
        <v>3</v>
      </c>
      <c r="B32" s="3" t="s">
        <v>116</v>
      </c>
    </row>
    <row r="33" spans="1:2" x14ac:dyDescent="0.2">
      <c r="A33" s="41">
        <v>4</v>
      </c>
      <c r="B33" s="3" t="s">
        <v>156</v>
      </c>
    </row>
    <row r="34" spans="1:2" x14ac:dyDescent="0.2">
      <c r="A34" s="41">
        <v>5</v>
      </c>
      <c r="B34" s="3" t="s">
        <v>157</v>
      </c>
    </row>
    <row r="35" spans="1:2" x14ac:dyDescent="0.2">
      <c r="A35" s="41"/>
      <c r="B35" s="41" t="s">
        <v>127</v>
      </c>
    </row>
    <row r="36" spans="1:2" x14ac:dyDescent="0.2">
      <c r="A36" s="41"/>
      <c r="B36" s="41" t="s">
        <v>126</v>
      </c>
    </row>
    <row r="37" spans="1:2" x14ac:dyDescent="0.2">
      <c r="A37" s="41"/>
      <c r="B37" s="3" t="s">
        <v>125</v>
      </c>
    </row>
    <row r="38" spans="1:2" x14ac:dyDescent="0.2">
      <c r="A38" s="41">
        <v>6</v>
      </c>
      <c r="B38" s="3" t="s">
        <v>119</v>
      </c>
    </row>
    <row r="39" spans="1:2" ht="6" customHeight="1" thickBot="1" x14ac:dyDescent="0.25">
      <c r="A39" s="41"/>
      <c r="B39" s="3"/>
    </row>
    <row r="40" spans="1:2" ht="16.5" thickBot="1" x14ac:dyDescent="0.3">
      <c r="A40" s="41"/>
      <c r="B40" s="40" t="s">
        <v>100</v>
      </c>
    </row>
    <row r="41" spans="1:2" ht="51" x14ac:dyDescent="0.2">
      <c r="A41" s="3"/>
      <c r="B41" s="127" t="s">
        <v>186</v>
      </c>
    </row>
    <row r="42" spans="1:2" x14ac:dyDescent="0.2">
      <c r="A42" s="3"/>
    </row>
    <row r="43" spans="1:2" x14ac:dyDescent="0.2">
      <c r="A43" s="3"/>
      <c r="B43" s="3"/>
    </row>
    <row r="44" spans="1:2" x14ac:dyDescent="0.2">
      <c r="A44" s="3"/>
      <c r="B44" s="3"/>
    </row>
    <row r="45" spans="1:2" x14ac:dyDescent="0.2">
      <c r="A45" s="3"/>
    </row>
    <row r="46" spans="1:2" x14ac:dyDescent="0.2">
      <c r="A46" s="3"/>
    </row>
  </sheetData>
  <sheetProtection password="CCF2" sheet="1" objects="1" scenarios="1" selectLockedCells="1"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N472"/>
  <sheetViews>
    <sheetView tabSelected="1" zoomScaleNormal="100" zoomScaleSheetLayoutView="100" workbookViewId="0">
      <selection activeCell="N31" sqref="N31"/>
    </sheetView>
  </sheetViews>
  <sheetFormatPr defaultRowHeight="12.75" x14ac:dyDescent="0.2"/>
  <cols>
    <col min="1" max="1" width="13.85546875" style="1" customWidth="1"/>
    <col min="2" max="2" width="10.42578125" style="1" customWidth="1"/>
    <col min="3" max="3" width="8.85546875" style="1" customWidth="1"/>
    <col min="4" max="4" width="6.5703125" style="1" customWidth="1"/>
    <col min="5" max="5" width="1.42578125" style="1" customWidth="1"/>
    <col min="6" max="6" width="13.140625" style="1" customWidth="1"/>
    <col min="7" max="7" width="13.5703125" style="1" customWidth="1"/>
    <col min="8" max="8" width="10.28515625" style="1" customWidth="1"/>
    <col min="9" max="9" width="12.7109375" style="1" customWidth="1"/>
    <col min="10" max="10" width="11" style="1" customWidth="1"/>
    <col min="11" max="11" width="6" style="1" customWidth="1"/>
    <col min="12" max="12" width="5" style="1" bestFit="1" customWidth="1"/>
    <col min="13" max="13" width="18.85546875" style="1" customWidth="1"/>
    <col min="14" max="14" width="13.28515625" style="1" customWidth="1"/>
    <col min="15" max="15" width="5.42578125" style="1" customWidth="1"/>
    <col min="16" max="16" width="10.42578125" style="17" bestFit="1" customWidth="1"/>
    <col min="17" max="17" width="12" style="102" customWidth="1"/>
    <col min="18" max="18" width="16.85546875" style="128" customWidth="1"/>
    <col min="19" max="19" width="13.140625" style="130" customWidth="1"/>
    <col min="20" max="20" width="15.140625" style="165" customWidth="1"/>
    <col min="21" max="21" width="10" style="130" customWidth="1"/>
    <col min="22" max="22" width="13.85546875" style="130" customWidth="1"/>
    <col min="23" max="23" width="39.5703125" style="130" bestFit="1" customWidth="1"/>
    <col min="24" max="24" width="22.28515625" style="130" bestFit="1" customWidth="1"/>
    <col min="25" max="26" width="39" style="130" bestFit="1" customWidth="1"/>
    <col min="27" max="27" width="22.140625" style="130" customWidth="1"/>
    <col min="28" max="28" width="17.85546875" style="130" customWidth="1"/>
    <col min="29" max="29" width="7.28515625" style="130" customWidth="1"/>
    <col min="30" max="30" width="14.42578125" style="130" customWidth="1"/>
    <col min="31" max="31" width="11.42578125" style="130" customWidth="1"/>
    <col min="32" max="32" width="23" style="13" bestFit="1" customWidth="1"/>
    <col min="33" max="34" width="34" style="13" bestFit="1" customWidth="1"/>
    <col min="35" max="35" width="34.140625" style="13" bestFit="1" customWidth="1"/>
    <col min="36" max="36" width="40.140625" style="13" bestFit="1" customWidth="1"/>
    <col min="37" max="42" width="9.140625" style="13"/>
    <col min="43" max="49" width="9.140625" style="23"/>
    <col min="50" max="68" width="9.140625" style="21"/>
    <col min="69" max="69" width="9.140625" style="22"/>
    <col min="70" max="80" width="9.140625" style="1"/>
    <col min="81" max="81" width="12.42578125" style="1" bestFit="1" customWidth="1"/>
    <col min="82" max="82" width="12.5703125" style="1" bestFit="1" customWidth="1"/>
    <col min="83" max="90" width="12.42578125" style="1" bestFit="1" customWidth="1"/>
    <col min="91" max="16384" width="9.140625" style="1"/>
  </cols>
  <sheetData>
    <row r="1" spans="1:89" x14ac:dyDescent="0.2">
      <c r="A1" s="1" t="s">
        <v>99</v>
      </c>
      <c r="S1" s="128"/>
      <c r="T1" s="128"/>
      <c r="U1" s="128"/>
      <c r="V1" s="128"/>
      <c r="W1" s="128"/>
      <c r="X1" s="129" t="s">
        <v>56</v>
      </c>
      <c r="AB1" s="129" t="s">
        <v>57</v>
      </c>
      <c r="AG1" s="107"/>
      <c r="AH1" s="108"/>
      <c r="AX1" s="23"/>
      <c r="AY1" s="23"/>
      <c r="AZ1" s="23"/>
      <c r="BA1" s="23"/>
      <c r="BB1" s="23"/>
      <c r="BQ1" s="21"/>
      <c r="BR1" s="21"/>
      <c r="BS1" s="21"/>
      <c r="BT1" s="21"/>
      <c r="BU1" s="21"/>
      <c r="BV1" s="20"/>
    </row>
    <row r="2" spans="1:89" ht="24" customHeight="1" thickBot="1" x14ac:dyDescent="0.25">
      <c r="R2" s="131" t="s">
        <v>60</v>
      </c>
      <c r="S2" s="132"/>
      <c r="T2" s="130"/>
      <c r="Y2" s="133"/>
      <c r="AA2" s="133"/>
      <c r="AG2" s="92"/>
      <c r="AX2" s="23"/>
      <c r="AY2" s="23"/>
      <c r="AZ2" s="23"/>
      <c r="BA2" s="23"/>
      <c r="BB2" s="23"/>
      <c r="BQ2" s="21"/>
      <c r="BR2" s="21"/>
      <c r="BS2" s="21"/>
      <c r="BT2" s="21"/>
      <c r="BU2" s="21"/>
      <c r="BV2" s="20"/>
    </row>
    <row r="3" spans="1:89" x14ac:dyDescent="0.2">
      <c r="A3" s="16" t="s">
        <v>33</v>
      </c>
      <c r="B3" s="33"/>
      <c r="C3" s="34"/>
      <c r="F3" s="25" t="s">
        <v>109</v>
      </c>
      <c r="G3" s="26"/>
      <c r="H3" s="27"/>
      <c r="I3" s="28"/>
      <c r="J3" s="25" t="s">
        <v>111</v>
      </c>
      <c r="K3" s="65"/>
      <c r="M3" s="25" t="s">
        <v>124</v>
      </c>
      <c r="N3" s="26"/>
      <c r="O3" s="28"/>
      <c r="R3" s="134" t="s">
        <v>104</v>
      </c>
      <c r="S3" s="134" t="s">
        <v>1</v>
      </c>
      <c r="T3" s="134" t="s">
        <v>21</v>
      </c>
      <c r="U3" s="134" t="s">
        <v>27</v>
      </c>
      <c r="V3" s="134" t="s">
        <v>150</v>
      </c>
      <c r="W3" s="135"/>
      <c r="X3" s="136" t="str">
        <f>'Input and Results'!H6</f>
        <v>R_2</v>
      </c>
      <c r="Y3" s="137">
        <f>'Input and Results'!I6</f>
        <v>5809.7946575894966</v>
      </c>
      <c r="Z3" s="138">
        <f>IF((10^(LOG(Y3)-INT(LOG(Y3)))*100)-VLOOKUP((10^(LOG(Y3)-INT(LOG(Y3)))*100),X$7:X$75,1)&lt;VLOOKUP((10^(LOG(Y3)-INT(LOG(Y3)))*100),X$7:Y$75,2)-(10^(LOG(Y3)-INT(LOG(Y3)))*100),VLOOKUP((10^(LOG(Y3)-INT(LOG(Y3)))*100),X$7:X$75,1),VLOOKUP((10^(LOG(Y3)-INT(LOG(Y3)))*100),X$7:Y$75,2))</f>
        <v>590</v>
      </c>
      <c r="AA3" s="132">
        <f>Z3*10^INT(LOG(Y3))/100</f>
        <v>5900</v>
      </c>
      <c r="AB3" s="136" t="str">
        <f>'Input and Results'!H9</f>
        <v>C_1</v>
      </c>
      <c r="AC3" s="137">
        <f>'Input and Results'!I9</f>
        <v>122.7148413036698</v>
      </c>
      <c r="AD3" s="138">
        <f>IF((10^(LOG(AC3)-INT(LOG(AC3))))-VLOOKUP((10^(LOG(AC3)-INT(LOG(AC3)))),AB$7:AB$18,1)&lt;VLOOKUP((10^(LOG(AC3)-INT(LOG(AC3)))),AB$7:AC$18,2)-(10^(LOG(AC3)-INT(LOG(AC3)))),VLOOKUP((10^(LOG(AC3)-INT(LOG(AC3)))),AB$7:AB$18,1),VLOOKUP((10^(LOG(AC3)-INT(LOG(AC3)))),AB$7:AC$18,2))</f>
        <v>1.2</v>
      </c>
      <c r="AE3" s="132">
        <f>IF(I9&gt;10000,AD6*10^INT(LOG(AC3)),AD3*10^INT(LOG(AC3)))</f>
        <v>120</v>
      </c>
      <c r="AX3" s="23"/>
      <c r="AY3" s="23"/>
      <c r="AZ3" s="23"/>
      <c r="BA3" s="23"/>
      <c r="BB3" s="23"/>
      <c r="BQ3" s="21"/>
      <c r="BR3" s="21"/>
      <c r="BS3" s="21"/>
      <c r="BT3" s="21"/>
      <c r="BU3" s="21"/>
      <c r="BV3" s="20"/>
    </row>
    <row r="4" spans="1:89" x14ac:dyDescent="0.2">
      <c r="A4" s="35" t="s">
        <v>0</v>
      </c>
      <c r="B4" s="14">
        <v>24</v>
      </c>
      <c r="C4" s="10" t="s">
        <v>3</v>
      </c>
      <c r="E4" s="3"/>
      <c r="F4" s="37"/>
      <c r="G4" s="2"/>
      <c r="H4" s="2"/>
      <c r="I4" s="49"/>
      <c r="J4" s="66" t="s">
        <v>110</v>
      </c>
      <c r="K4" s="57" t="s">
        <v>78</v>
      </c>
      <c r="M4" s="73" t="s">
        <v>121</v>
      </c>
      <c r="N4" s="74">
        <f>1/(2*PI()*SQRT(LOUT*10^-6*(COUT+MLCC)*10^-6))*10^-3</f>
        <v>5.3921404804331594</v>
      </c>
      <c r="O4" s="75" t="s">
        <v>36</v>
      </c>
      <c r="R4" s="134"/>
      <c r="S4" s="134" t="s">
        <v>3</v>
      </c>
      <c r="T4" s="134" t="s">
        <v>3</v>
      </c>
      <c r="U4" s="134" t="s">
        <v>151</v>
      </c>
      <c r="V4" s="134" t="s">
        <v>31</v>
      </c>
      <c r="W4" s="135"/>
      <c r="X4" s="136" t="str">
        <f>'Input and Results'!H7</f>
        <v>R_3</v>
      </c>
      <c r="Y4" s="137">
        <f>'Input and Results'!I7</f>
        <v>64067.814416374946</v>
      </c>
      <c r="Z4" s="138">
        <f>IF((10^(LOG(Y4)-INT(LOG(Y4)))*100)-VLOOKUP((10^(LOG(Y4)-INT(LOG(Y4)))*100),X$7:X$75,1)&lt;VLOOKUP((10^(LOG(Y4)-INT(LOG(Y4)))*100),X$7:Y$75,2)-(10^(LOG(Y4)-INT(LOG(Y4)))*100),VLOOKUP((10^(LOG(Y4)-INT(LOG(Y4)))*100),X$7:X$75,1),VLOOKUP((10^(LOG(Y4)-INT(LOG(Y4)))*100),X$7:Y$75,2))</f>
        <v>649</v>
      </c>
      <c r="AA4" s="132">
        <f>Z4*10^INT(LOG(Y4))/100</f>
        <v>64900</v>
      </c>
      <c r="AB4" s="136" t="str">
        <f>'Input and Results'!H10</f>
        <v>C_2</v>
      </c>
      <c r="AC4" s="137">
        <f>'Input and Results'!I10</f>
        <v>221.82090496260744</v>
      </c>
      <c r="AD4" s="138">
        <f>IF((10^(LOG(AC4)-INT(LOG(AC4))))-VLOOKUP((10^(LOG(AC4)-INT(LOG(AC4)))),AB$7:AB$18,1)&lt;VLOOKUP((10^(LOG(AC4)-INT(LOG(AC4)))),AB$7:AC$18,2)-(10^(LOG(AC4)-INT(LOG(AC4)))),VLOOKUP((10^(LOG(AC4)-INT(LOG(AC4)))),AB$7:AB$18,1),VLOOKUP((10^(LOG(AC4)-INT(LOG(AC4)))),AB$7:AC$18,2))</f>
        <v>2.2000000000000002</v>
      </c>
      <c r="AE4" s="132">
        <f>IF(I10&gt;10000,AD7*10^INT(LOG(AC4)),AD4*10^INT(LOG(AC4)))</f>
        <v>220.00000000000003</v>
      </c>
      <c r="AX4" s="23"/>
      <c r="AY4" s="23"/>
      <c r="AZ4" s="23"/>
      <c r="BA4" s="23"/>
      <c r="BB4" s="23"/>
      <c r="BQ4" s="21"/>
      <c r="BR4" s="21"/>
      <c r="BS4" s="21"/>
      <c r="BT4" s="21"/>
      <c r="BU4" s="21"/>
      <c r="BV4" s="20"/>
    </row>
    <row r="5" spans="1:89" x14ac:dyDescent="0.2">
      <c r="A5" s="35" t="s">
        <v>9</v>
      </c>
      <c r="B5" s="14">
        <v>5.5129999999999999</v>
      </c>
      <c r="C5" s="10" t="s">
        <v>3</v>
      </c>
      <c r="E5" s="3"/>
      <c r="F5" s="24" t="s">
        <v>14</v>
      </c>
      <c r="G5" s="45">
        <f>IF(K13="NO",Fco/G9*1000,J14)</f>
        <v>11198.961457976062</v>
      </c>
      <c r="H5" s="32" t="s">
        <v>15</v>
      </c>
      <c r="I5" s="50">
        <f>J5</f>
        <v>110000</v>
      </c>
      <c r="J5" s="55">
        <v>110000</v>
      </c>
      <c r="K5" s="56" t="s">
        <v>94</v>
      </c>
      <c r="M5" s="73" t="s">
        <v>123</v>
      </c>
      <c r="N5" s="103">
        <f>IF(D13=0, "None",1/(2*PI()*COUT*10^-6*ESR*10^-3)*10^-3)</f>
        <v>1.4468631190172303</v>
      </c>
      <c r="O5" s="75" t="s">
        <v>36</v>
      </c>
      <c r="R5" s="134" t="s">
        <v>167</v>
      </c>
      <c r="S5" s="134">
        <v>0.87</v>
      </c>
      <c r="T5" s="134">
        <v>0.7</v>
      </c>
      <c r="U5" s="134">
        <v>5</v>
      </c>
      <c r="V5" s="134">
        <v>55</v>
      </c>
      <c r="W5" s="135"/>
      <c r="X5" s="136" t="str">
        <f>'Input and Results'!H8</f>
        <v>R_bias</v>
      </c>
      <c r="Y5" s="137">
        <f>'Input and Results'!I8</f>
        <v>15998.337835030128</v>
      </c>
      <c r="Z5" s="138">
        <f>IF((10^(LOG(Y5)-INT(LOG(Y5)))*100)-VLOOKUP((10^(LOG(Y5)-INT(LOG(Y5)))*100),X$7:X$75,1)&lt;VLOOKUP((10^(LOG(Y5)-INT(LOG(Y5)))*100),X$7:Y$75,2)-(10^(LOG(Y5)-INT(LOG(Y5)))*100),VLOOKUP((10^(LOG(Y5)-INT(LOG(Y5)))*100),X$7:X$75,1),VLOOKUP((10^(LOG(Y5)-INT(LOG(Y5)))*100),X$7:Y$75,2))</f>
        <v>160</v>
      </c>
      <c r="AA5" s="132">
        <f>Z5*10^INT(LOG(Y5))/100</f>
        <v>16000</v>
      </c>
      <c r="AB5" s="136" t="str">
        <f>'Input and Results'!H11</f>
        <v>C_3</v>
      </c>
      <c r="AC5" s="137">
        <f>'Input and Results'!I11</f>
        <v>11.715762805394778</v>
      </c>
      <c r="AD5" s="138">
        <f>IF((10^(LOG(AC5)-INT(LOG(AC5))))-VLOOKUP((10^(LOG(AC5)-INT(LOG(AC5)))),AB$7:AB$18,1)&lt;VLOOKUP((10^(LOG(AC5)-INT(LOG(AC5)))),AB$7:AC$18,2)-(10^(LOG(AC5)-INT(LOG(AC5)))),VLOOKUP((10^(LOG(AC5)-INT(LOG(AC5)))),AB$7:AB$18,1),VLOOKUP((10^(LOG(AC5)-INT(LOG(AC5)))),AB$7:AC$18,2))</f>
        <v>1.2</v>
      </c>
      <c r="AE5" s="132">
        <f>IF(I11&gt;10000,AD8*10^INT(LOG(AC5)),AD5*10^INT(LOG(AC5)))</f>
        <v>12</v>
      </c>
      <c r="AX5" s="23"/>
      <c r="AY5" s="23"/>
      <c r="AZ5" s="23"/>
      <c r="BA5" s="23"/>
      <c r="BB5" s="23"/>
      <c r="BQ5" s="21"/>
      <c r="BR5" s="21"/>
      <c r="BS5" s="21"/>
      <c r="BT5" s="21"/>
      <c r="BU5" s="21"/>
      <c r="BV5" s="20"/>
    </row>
    <row r="6" spans="1:89" ht="13.5" thickBot="1" x14ac:dyDescent="0.25">
      <c r="A6" s="35" t="s">
        <v>8</v>
      </c>
      <c r="B6" s="14">
        <v>4</v>
      </c>
      <c r="C6" s="10" t="s">
        <v>32</v>
      </c>
      <c r="E6" s="3"/>
      <c r="F6" s="24" t="s">
        <v>13</v>
      </c>
      <c r="G6" s="45">
        <f>IF(K13="NO",Fco/G9*1000,J15)</f>
        <v>11198.961457976062</v>
      </c>
      <c r="H6" s="4" t="s">
        <v>16</v>
      </c>
      <c r="I6" s="51">
        <f>1/(2*PI()*Fp_1*I9*10^-12)</f>
        <v>5809.7946575894966</v>
      </c>
      <c r="J6" s="15">
        <v>5900</v>
      </c>
      <c r="K6" s="11" t="s">
        <v>94</v>
      </c>
      <c r="M6" s="76" t="s">
        <v>122</v>
      </c>
      <c r="N6" s="104">
        <f>IF(D16=0,"None",1/(2*PI()*MLCC*10^-6*MLCC_ESR*10^-3)*10^-3)</f>
        <v>361.71577975430762</v>
      </c>
      <c r="O6" s="77" t="s">
        <v>36</v>
      </c>
      <c r="R6" s="134" t="s">
        <v>168</v>
      </c>
      <c r="S6" s="134">
        <v>0.87</v>
      </c>
      <c r="T6" s="134">
        <v>0.7</v>
      </c>
      <c r="U6" s="134">
        <v>5</v>
      </c>
      <c r="V6" s="134">
        <v>55</v>
      </c>
      <c r="W6" s="135"/>
      <c r="Y6" s="133"/>
      <c r="AA6" s="133"/>
      <c r="AB6" s="139" t="s">
        <v>69</v>
      </c>
      <c r="AC6" s="140"/>
      <c r="AD6" s="138">
        <f>IF((10^(LOG(AC3)-INT(LOG(AC3))))-VLOOKUP((10^(LOG(AC3)-INT(LOG(AC3)))),AB$20:AB$25,1)&lt;VLOOKUP((10^(LOG(AC3)-INT(LOG(AC3)))),AB$20:AC$25,2)-(10^(LOG(AC3)-INT(LOG(AC3)))),VLOOKUP((10^(LOG(AC3)-INT(LOG(AC3)))),AB$20:AB$25,1),VLOOKUP((10^(LOG(AC3)-INT(LOG(AC3)))),AB$20:AC$25,2))</f>
        <v>1</v>
      </c>
      <c r="AX6" s="23"/>
      <c r="AY6" s="23"/>
      <c r="AZ6" s="23"/>
      <c r="BA6" s="23"/>
      <c r="BB6" s="23"/>
      <c r="BQ6" s="21"/>
      <c r="BR6" s="21"/>
      <c r="BS6" s="21"/>
      <c r="BT6" s="21"/>
      <c r="BU6" s="21"/>
      <c r="BV6" s="20"/>
    </row>
    <row r="7" spans="1:89" x14ac:dyDescent="0.2">
      <c r="A7" s="35" t="s">
        <v>37</v>
      </c>
      <c r="B7" s="14">
        <v>50</v>
      </c>
      <c r="C7" s="10" t="s">
        <v>36</v>
      </c>
      <c r="E7" s="3"/>
      <c r="F7" s="24" t="s">
        <v>12</v>
      </c>
      <c r="G7" s="45">
        <f>IF(K13="NO",Fco*G9*1000,J16)</f>
        <v>223234.98561730154</v>
      </c>
      <c r="H7" s="4" t="s">
        <v>17</v>
      </c>
      <c r="I7" s="51">
        <f>1/(2*PI()*Fz_2*I10*10^-12)</f>
        <v>64067.814416374946</v>
      </c>
      <c r="J7" s="15">
        <v>64900</v>
      </c>
      <c r="K7" s="11" t="s">
        <v>94</v>
      </c>
      <c r="R7" s="134" t="s">
        <v>169</v>
      </c>
      <c r="S7" s="134">
        <v>0.87</v>
      </c>
      <c r="T7" s="134">
        <v>0.7</v>
      </c>
      <c r="U7" s="134">
        <v>5</v>
      </c>
      <c r="V7" s="134">
        <v>55</v>
      </c>
      <c r="W7" s="135"/>
      <c r="X7" s="133">
        <v>100</v>
      </c>
      <c r="Y7" s="133">
        <v>105</v>
      </c>
      <c r="Z7" s="133" t="s">
        <v>58</v>
      </c>
      <c r="AA7" s="133"/>
      <c r="AB7" s="140">
        <v>1</v>
      </c>
      <c r="AC7" s="140">
        <v>1.2</v>
      </c>
      <c r="AD7" s="138">
        <f>IF((10^(LOG(AC4)-INT(LOG(AC4))))-VLOOKUP((10^(LOG(AC4)-INT(LOG(AC4)))),AB$20:AB$25,1)&lt;VLOOKUP((10^(LOG(AC4)-INT(LOG(AC4)))),AB$20:AC$25,2)-(10^(LOG(AC4)-INT(LOG(AC4)))),VLOOKUP((10^(LOG(AC4)-INT(LOG(AC4)))),AB$20:AB$25,1),VLOOKUP((10^(LOG(AC4)-INT(LOG(AC4)))),AB$20:AC$25,2))</f>
        <v>2.2000000000000002</v>
      </c>
      <c r="AX7" s="23"/>
      <c r="AY7" s="23"/>
      <c r="AZ7" s="23"/>
      <c r="BA7" s="23"/>
      <c r="BB7" s="23"/>
      <c r="BQ7" s="21"/>
      <c r="BR7" s="21"/>
      <c r="BS7" s="21"/>
      <c r="BT7" s="21"/>
      <c r="BU7" s="21"/>
      <c r="BV7" s="20"/>
    </row>
    <row r="8" spans="1:89" ht="13.5" thickBot="1" x14ac:dyDescent="0.25">
      <c r="A8" s="70" t="s">
        <v>39</v>
      </c>
      <c r="B8" s="69">
        <v>60</v>
      </c>
      <c r="C8" s="79" t="s">
        <v>35</v>
      </c>
      <c r="E8" s="3"/>
      <c r="F8" s="24" t="s">
        <v>11</v>
      </c>
      <c r="G8" s="45">
        <f>IF(K13="NO",Fco*G9*1000,J17)</f>
        <v>223234.98561730154</v>
      </c>
      <c r="H8" s="4" t="s">
        <v>68</v>
      </c>
      <c r="I8" s="51">
        <f>VREF*I5/(VOUT-VREF)</f>
        <v>15998.337835030128</v>
      </c>
      <c r="J8" s="15">
        <v>16000</v>
      </c>
      <c r="K8" s="11" t="s">
        <v>94</v>
      </c>
      <c r="R8" s="134" t="s">
        <v>72</v>
      </c>
      <c r="S8" s="134">
        <v>0.87</v>
      </c>
      <c r="T8" s="134">
        <v>0.6</v>
      </c>
      <c r="U8" s="134">
        <v>5</v>
      </c>
      <c r="V8" s="134">
        <v>55</v>
      </c>
      <c r="W8" s="135"/>
      <c r="X8" s="133">
        <v>105</v>
      </c>
      <c r="Y8" s="133">
        <v>110</v>
      </c>
      <c r="Z8" s="133" t="s">
        <v>59</v>
      </c>
      <c r="AA8" s="133"/>
      <c r="AB8" s="140">
        <v>1.2</v>
      </c>
      <c r="AC8" s="140">
        <v>1.5</v>
      </c>
      <c r="AD8" s="138">
        <f>IF((10^(LOG(AC5)-INT(LOG(AC5))))-VLOOKUP((10^(LOG(AC5)-INT(LOG(AC5)))),AB$20:AB$25,1)&lt;VLOOKUP((10^(LOG(AC5)-INT(LOG(AC5)))),AB$20:AC$25,2)-(10^(LOG(AC5)-INT(LOG(AC5)))),VLOOKUP((10^(LOG(AC5)-INT(LOG(AC5)))),AB$20:AB$25,1),VLOOKUP((10^(LOG(AC5)-INT(LOG(AC5)))),AB$20:AC$25,2))</f>
        <v>1</v>
      </c>
      <c r="AX8" s="23"/>
      <c r="AY8" s="23"/>
      <c r="AZ8" s="23"/>
      <c r="BA8" s="23"/>
      <c r="BB8" s="23"/>
      <c r="BQ8" s="21"/>
      <c r="BR8" s="21"/>
      <c r="BS8" s="21"/>
      <c r="BT8" s="21"/>
      <c r="BU8" s="21"/>
      <c r="BV8" s="20"/>
    </row>
    <row r="9" spans="1:89" x14ac:dyDescent="0.2">
      <c r="A9" s="80" t="s">
        <v>34</v>
      </c>
      <c r="B9" s="81"/>
      <c r="C9" s="82"/>
      <c r="E9" s="3"/>
      <c r="F9" s="24" t="s">
        <v>49</v>
      </c>
      <c r="G9" s="12">
        <f>TAN(RADIANS((PM-'Input and Results'!F57-180)/2+45))+SQRT((TAN(RADIANS((PM-'Input and Results'!F57-180)/2+45)))^2+1)</f>
        <v>4.4646997123460306</v>
      </c>
      <c r="H9" s="4" t="s">
        <v>18</v>
      </c>
      <c r="I9" s="52">
        <f>(Fp_1-Fz_1)/(2*PI()*Fp_1*Fz_1*I5)*10^12</f>
        <v>122.7148413036698</v>
      </c>
      <c r="J9" s="96">
        <v>120</v>
      </c>
      <c r="K9" s="10" t="s">
        <v>23</v>
      </c>
      <c r="R9" s="134" t="s">
        <v>75</v>
      </c>
      <c r="S9" s="134">
        <v>0.87</v>
      </c>
      <c r="T9" s="134">
        <v>0.6</v>
      </c>
      <c r="U9" s="134">
        <v>5</v>
      </c>
      <c r="V9" s="134">
        <v>55</v>
      </c>
      <c r="W9" s="135"/>
      <c r="X9" s="133">
        <v>110</v>
      </c>
      <c r="Y9" s="133">
        <v>115</v>
      </c>
      <c r="AA9" s="133"/>
      <c r="AB9" s="140">
        <v>1.5</v>
      </c>
      <c r="AC9" s="140">
        <v>1.8</v>
      </c>
      <c r="AX9" s="23"/>
      <c r="AY9" s="23"/>
      <c r="AZ9" s="23"/>
      <c r="BA9" s="23"/>
      <c r="BB9" s="23"/>
      <c r="BQ9" s="21"/>
      <c r="BR9" s="21"/>
      <c r="BS9" s="21"/>
      <c r="BT9" s="21"/>
      <c r="BU9" s="21"/>
      <c r="BV9" s="20"/>
    </row>
    <row r="10" spans="1:89" x14ac:dyDescent="0.2">
      <c r="A10" s="35" t="s">
        <v>10</v>
      </c>
      <c r="B10" s="14">
        <v>3.3</v>
      </c>
      <c r="C10" s="36" t="s">
        <v>113</v>
      </c>
      <c r="E10" s="3"/>
      <c r="F10" s="37"/>
      <c r="G10" s="2"/>
      <c r="H10" s="4" t="s">
        <v>19</v>
      </c>
      <c r="I10" s="52">
        <f>((Fco*1000)/(2*PI()*I5*Fz_2*Fz_1*F58)*(1-Fz_2/Fp_2))*10^12</f>
        <v>221.82090496260744</v>
      </c>
      <c r="J10" s="96">
        <v>220.00000000000003</v>
      </c>
      <c r="K10" s="10" t="s">
        <v>23</v>
      </c>
      <c r="R10" s="134" t="s">
        <v>170</v>
      </c>
      <c r="S10" s="141">
        <f>VIN/((B21*10^3/(58.14*B20+1340)+3.48)/2)</f>
        <v>4.2448617927826273</v>
      </c>
      <c r="T10" s="134">
        <v>0.7</v>
      </c>
      <c r="U10" s="134">
        <v>3</v>
      </c>
      <c r="V10" s="134">
        <v>60</v>
      </c>
      <c r="W10" s="135"/>
      <c r="X10" s="133">
        <v>115</v>
      </c>
      <c r="Y10" s="133">
        <v>120</v>
      </c>
      <c r="AA10" s="133"/>
      <c r="AB10" s="140">
        <v>1.8</v>
      </c>
      <c r="AC10" s="140">
        <v>2.2000000000000002</v>
      </c>
      <c r="AD10" s="142">
        <f>IF('Input and Results'!I9&lt;1,"1000",1)</f>
        <v>1</v>
      </c>
      <c r="AE10" s="130" t="str">
        <f>IF('Input and Results'!I9&lt;1,"pF","nF")</f>
        <v>nF</v>
      </c>
      <c r="AX10" s="23"/>
      <c r="AY10" s="23"/>
      <c r="AZ10" s="23"/>
      <c r="BA10" s="23"/>
      <c r="BB10" s="23"/>
      <c r="BQ10" s="21"/>
      <c r="BR10" s="21"/>
      <c r="BS10" s="21"/>
      <c r="BT10" s="21"/>
      <c r="BU10" s="21"/>
      <c r="BV10" s="20"/>
    </row>
    <row r="11" spans="1:89" ht="13.5" thickBot="1" x14ac:dyDescent="0.25">
      <c r="A11" s="70" t="s">
        <v>6</v>
      </c>
      <c r="B11" s="69">
        <v>9</v>
      </c>
      <c r="C11" s="71" t="s">
        <v>115</v>
      </c>
      <c r="E11" s="3"/>
      <c r="F11" s="29"/>
      <c r="G11" s="30"/>
      <c r="H11" s="31" t="s">
        <v>20</v>
      </c>
      <c r="I11" s="53">
        <f>((Fco*1000)/(2*PI()*I5*Fz_2*Fz_1*F58)-I10*10^-12)*10^12</f>
        <v>11.715762805394778</v>
      </c>
      <c r="J11" s="97">
        <v>12</v>
      </c>
      <c r="K11" s="48" t="s">
        <v>23</v>
      </c>
      <c r="R11" s="134" t="s">
        <v>171</v>
      </c>
      <c r="S11" s="141">
        <f>VIN/((B21*10^3/(58.14*B20+1340)+3.48)/2)</f>
        <v>4.2448617927826273</v>
      </c>
      <c r="T11" s="134">
        <v>0.7</v>
      </c>
      <c r="U11" s="134">
        <v>3</v>
      </c>
      <c r="V11" s="134">
        <v>60</v>
      </c>
      <c r="W11" s="135"/>
      <c r="X11" s="133">
        <v>120</v>
      </c>
      <c r="Y11" s="133">
        <v>121</v>
      </c>
      <c r="AA11" s="133"/>
      <c r="AB11" s="140">
        <v>2.2000000000000002</v>
      </c>
      <c r="AC11" s="140">
        <v>2.7</v>
      </c>
      <c r="AD11" s="143">
        <f>IF('Input and Results'!I10&lt;1,"1000",1)</f>
        <v>1</v>
      </c>
      <c r="AE11" s="130" t="str">
        <f>IF('Input and Results'!I10&lt;1,"pF","nF")</f>
        <v>nF</v>
      </c>
      <c r="AX11" s="23"/>
      <c r="AY11" s="23"/>
      <c r="AZ11" s="23"/>
      <c r="BA11" s="23"/>
      <c r="BB11" s="23"/>
      <c r="BQ11" s="21"/>
      <c r="BR11" s="21"/>
      <c r="BS11" s="21"/>
      <c r="BT11" s="21"/>
      <c r="BU11" s="21"/>
      <c r="BV11" s="20"/>
    </row>
    <row r="12" spans="1:89" ht="13.5" customHeight="1" x14ac:dyDescent="0.2">
      <c r="A12" s="197" t="s">
        <v>107</v>
      </c>
      <c r="B12" s="198"/>
      <c r="C12" s="198"/>
      <c r="D12" s="87" t="s">
        <v>137</v>
      </c>
      <c r="E12" s="6"/>
      <c r="F12" s="67" t="s">
        <v>76</v>
      </c>
      <c r="G12" s="27"/>
      <c r="H12" s="27"/>
      <c r="I12" s="27"/>
      <c r="J12" s="25" t="s">
        <v>111</v>
      </c>
      <c r="K12" s="65"/>
      <c r="L12" s="5"/>
      <c r="R12" s="134" t="s">
        <v>172</v>
      </c>
      <c r="S12" s="144">
        <f>(VIN-0.4)/((-((0.131*B20)+1.886)+SQRT(((0.131*B20)+1.886)^2-4*(-1.61*10^-3)*(-1.363-0.02*B20-4.87*10^-5*B20^2-B21)))/(2*(-1.61*10^-3))-0.4)</f>
        <v>6.5638652232083929</v>
      </c>
      <c r="T12" s="134">
        <v>0.7</v>
      </c>
      <c r="U12" s="134">
        <v>5</v>
      </c>
      <c r="V12" s="134">
        <v>50</v>
      </c>
      <c r="W12" s="135"/>
      <c r="X12" s="133">
        <v>121</v>
      </c>
      <c r="Y12" s="133">
        <v>127</v>
      </c>
      <c r="AA12" s="133"/>
      <c r="AB12" s="140">
        <v>2.7</v>
      </c>
      <c r="AC12" s="140">
        <v>3.3</v>
      </c>
      <c r="AD12" s="143">
        <f>IF('Input and Results'!I11&lt;1,"1000",1)</f>
        <v>1</v>
      </c>
      <c r="AE12" s="130" t="str">
        <f>IF('Input and Results'!I11&lt;1,"pF","nF")</f>
        <v>nF</v>
      </c>
      <c r="AX12" s="23"/>
      <c r="AY12" s="23"/>
      <c r="AZ12" s="23"/>
      <c r="BA12" s="23"/>
      <c r="BB12" s="23"/>
      <c r="BQ12" s="21"/>
      <c r="BR12" s="21"/>
      <c r="BS12" s="21"/>
      <c r="BT12" s="21"/>
      <c r="BU12" s="21"/>
      <c r="BV12" s="20"/>
      <c r="CE12" s="2"/>
      <c r="CF12" s="2"/>
      <c r="CG12" s="2"/>
      <c r="CH12" s="2"/>
      <c r="CI12" s="2"/>
      <c r="CJ12" s="2"/>
      <c r="CK12" s="2"/>
    </row>
    <row r="13" spans="1:89" ht="12.75" customHeight="1" x14ac:dyDescent="0.2">
      <c r="A13" s="35" t="s">
        <v>61</v>
      </c>
      <c r="B13" s="14">
        <v>220</v>
      </c>
      <c r="C13" s="85" t="s">
        <v>114</v>
      </c>
      <c r="D13" s="78">
        <v>1</v>
      </c>
      <c r="E13" s="6"/>
      <c r="F13" s="7" t="s">
        <v>15</v>
      </c>
      <c r="G13" s="44">
        <f>I5</f>
        <v>110000</v>
      </c>
      <c r="H13" s="5"/>
      <c r="I13" s="5"/>
      <c r="J13" s="64" t="s">
        <v>112</v>
      </c>
      <c r="K13" s="60" t="s">
        <v>79</v>
      </c>
      <c r="L13" s="2"/>
      <c r="R13" s="134" t="s">
        <v>136</v>
      </c>
      <c r="S13" s="144">
        <f>(VIN-0.4)/((-((0.131*B20)+1.886)+SQRT(((0.131*B20)+1.886)^2-4*(-1.61*10^-3)*(-1.363-0.02*B20-4.87*10^-5*B20^2-B21)))/(2*(-1.61*10^-3))-0.4)</f>
        <v>6.5638652232083929</v>
      </c>
      <c r="T13" s="134">
        <v>0.7</v>
      </c>
      <c r="U13" s="134">
        <v>5</v>
      </c>
      <c r="V13" s="134">
        <v>50</v>
      </c>
      <c r="W13" s="135"/>
      <c r="X13" s="133">
        <v>127</v>
      </c>
      <c r="Y13" s="133">
        <v>130</v>
      </c>
      <c r="AA13" s="133"/>
      <c r="AB13" s="140">
        <v>3.3</v>
      </c>
      <c r="AC13" s="140">
        <v>3.9</v>
      </c>
      <c r="AX13" s="23"/>
      <c r="AY13" s="23"/>
      <c r="AZ13" s="23"/>
      <c r="BA13" s="23"/>
      <c r="BB13" s="23"/>
      <c r="BQ13" s="21"/>
      <c r="BR13" s="21"/>
      <c r="BS13" s="21"/>
      <c r="BT13" s="21"/>
      <c r="BU13" s="21"/>
      <c r="BV13" s="20"/>
      <c r="CE13" s="2"/>
      <c r="CF13" s="195"/>
      <c r="CG13" s="196"/>
      <c r="CH13" s="196"/>
      <c r="CI13" s="196"/>
      <c r="CJ13" s="117"/>
      <c r="CK13" s="2"/>
    </row>
    <row r="14" spans="1:89" ht="13.5" thickBot="1" x14ac:dyDescent="0.25">
      <c r="A14" s="70" t="s">
        <v>62</v>
      </c>
      <c r="B14" s="69">
        <v>500</v>
      </c>
      <c r="C14" s="88" t="s">
        <v>115</v>
      </c>
      <c r="D14" s="89"/>
      <c r="E14" s="6"/>
      <c r="F14" s="7" t="s">
        <v>16</v>
      </c>
      <c r="G14" s="44">
        <f>IF(K4="No",'Input and Results'!AA3,J6)</f>
        <v>5900</v>
      </c>
      <c r="H14" s="8" t="s">
        <v>14</v>
      </c>
      <c r="I14" s="54">
        <f>1/(2*PI()*(R_1+R_2)*C_1*10^-12)</f>
        <v>11443.409770771883</v>
      </c>
      <c r="J14" s="61"/>
      <c r="K14" s="58" t="s">
        <v>24</v>
      </c>
      <c r="L14" s="2"/>
      <c r="R14" s="134" t="s">
        <v>73</v>
      </c>
      <c r="S14" s="134">
        <v>0.5</v>
      </c>
      <c r="T14" s="134">
        <v>0.69599999999999995</v>
      </c>
      <c r="U14" s="134">
        <v>3.5</v>
      </c>
      <c r="V14" s="134">
        <v>60</v>
      </c>
      <c r="W14" s="135"/>
      <c r="X14" s="133">
        <v>130</v>
      </c>
      <c r="Y14" s="133">
        <v>133</v>
      </c>
      <c r="AA14" s="133"/>
      <c r="AB14" s="140">
        <v>3.9</v>
      </c>
      <c r="AC14" s="140">
        <v>4.7</v>
      </c>
      <c r="AX14" s="23"/>
      <c r="AY14" s="23"/>
      <c r="AZ14" s="23"/>
      <c r="BA14" s="23"/>
      <c r="BB14" s="23"/>
      <c r="BQ14" s="21"/>
      <c r="BR14" s="21"/>
      <c r="BS14" s="21"/>
      <c r="BT14" s="21"/>
      <c r="BU14" s="21"/>
      <c r="BV14" s="20"/>
    </row>
    <row r="15" spans="1:89" x14ac:dyDescent="0.2">
      <c r="A15" s="80" t="s">
        <v>38</v>
      </c>
      <c r="B15" s="81"/>
      <c r="C15" s="81"/>
      <c r="D15" s="87" t="s">
        <v>137</v>
      </c>
      <c r="E15" s="6"/>
      <c r="F15" s="7" t="s">
        <v>17</v>
      </c>
      <c r="G15" s="44">
        <f>IF(K4="No",'Input and Results'!AA4,J7)</f>
        <v>64900</v>
      </c>
      <c r="H15" s="8" t="s">
        <v>13</v>
      </c>
      <c r="I15" s="54">
        <f>1/(2*PI()*(R_3)*C_2*10^-12)</f>
        <v>11146.865323707474</v>
      </c>
      <c r="J15" s="62"/>
      <c r="K15" s="58" t="s">
        <v>24</v>
      </c>
      <c r="L15" s="2"/>
      <c r="R15" s="134" t="s">
        <v>173</v>
      </c>
      <c r="S15" s="134">
        <f>VIN/15</f>
        <v>1.6</v>
      </c>
      <c r="T15" s="134">
        <v>0.6</v>
      </c>
      <c r="U15" s="134">
        <v>7</v>
      </c>
      <c r="V15" s="134">
        <v>80</v>
      </c>
      <c r="W15" s="135"/>
      <c r="X15" s="133">
        <v>133</v>
      </c>
      <c r="Y15" s="133">
        <v>140</v>
      </c>
      <c r="AA15" s="133"/>
      <c r="AB15" s="140">
        <v>4.7</v>
      </c>
      <c r="AC15" s="140">
        <v>5.6</v>
      </c>
      <c r="AX15" s="23"/>
      <c r="AY15" s="23"/>
      <c r="AZ15" s="23"/>
      <c r="BA15" s="23"/>
      <c r="BB15" s="23"/>
      <c r="BQ15" s="21"/>
      <c r="BR15" s="21"/>
      <c r="BS15" s="21"/>
      <c r="BT15" s="21"/>
      <c r="BU15" s="21"/>
      <c r="BV15" s="20"/>
    </row>
    <row r="16" spans="1:89" x14ac:dyDescent="0.2">
      <c r="A16" s="35" t="s">
        <v>63</v>
      </c>
      <c r="B16" s="14">
        <v>22</v>
      </c>
      <c r="C16" s="85" t="s">
        <v>114</v>
      </c>
      <c r="D16" s="90">
        <v>2</v>
      </c>
      <c r="E16" s="6"/>
      <c r="F16" s="7" t="s">
        <v>68</v>
      </c>
      <c r="G16" s="44">
        <f>IF(K4="No",'Input and Results'!AA5,J8)</f>
        <v>16000</v>
      </c>
      <c r="H16" s="8" t="s">
        <v>12</v>
      </c>
      <c r="I16" s="54">
        <f>1/(2*PI()*R_2*C_1*10^-12)</f>
        <v>224795.1173614341</v>
      </c>
      <c r="J16" s="62"/>
      <c r="K16" s="58" t="s">
        <v>24</v>
      </c>
      <c r="L16" s="2"/>
      <c r="R16" s="134" t="s">
        <v>71</v>
      </c>
      <c r="S16" s="134">
        <v>0.75</v>
      </c>
      <c r="T16" s="134">
        <v>0.59099999999999997</v>
      </c>
      <c r="U16" s="134">
        <v>5</v>
      </c>
      <c r="V16" s="134">
        <v>60</v>
      </c>
      <c r="W16" s="135"/>
      <c r="X16" s="133">
        <v>140</v>
      </c>
      <c r="Y16" s="133">
        <v>147</v>
      </c>
      <c r="AA16" s="133"/>
      <c r="AB16" s="140">
        <v>5.6</v>
      </c>
      <c r="AC16" s="140">
        <v>6.8</v>
      </c>
      <c r="AX16" s="23"/>
      <c r="AY16" s="23"/>
      <c r="AZ16" s="23"/>
      <c r="BA16" s="23"/>
      <c r="BB16" s="23"/>
      <c r="BQ16" s="21"/>
      <c r="BR16" s="21"/>
      <c r="BS16" s="21"/>
      <c r="BT16" s="21"/>
      <c r="BU16" s="21"/>
      <c r="BV16" s="20"/>
      <c r="CI16" s="112"/>
      <c r="CJ16" s="114"/>
    </row>
    <row r="17" spans="1:105" ht="13.5" thickBot="1" x14ac:dyDescent="0.25">
      <c r="A17" s="83" t="s">
        <v>64</v>
      </c>
      <c r="B17" s="84">
        <v>20</v>
      </c>
      <c r="C17" s="86" t="s">
        <v>115</v>
      </c>
      <c r="D17" s="91"/>
      <c r="E17" s="6"/>
      <c r="F17" s="7" t="s">
        <v>18</v>
      </c>
      <c r="G17" s="93">
        <f>IF(K4="No",AE3,J9)</f>
        <v>120</v>
      </c>
      <c r="H17" s="72" t="s">
        <v>11</v>
      </c>
      <c r="I17" s="54">
        <f>(C_2*10^-12+C_3*10^-12)/(2*PI()*R_3*C_2*10^-12*C_3*10^-12)</f>
        <v>215506.06292501118</v>
      </c>
      <c r="J17" s="63"/>
      <c r="K17" s="59" t="s">
        <v>24</v>
      </c>
      <c r="L17" s="2"/>
      <c r="R17" s="134" t="s">
        <v>154</v>
      </c>
      <c r="S17" s="134">
        <v>1</v>
      </c>
      <c r="T17" s="134">
        <v>0.59099999999999997</v>
      </c>
      <c r="U17" s="134">
        <v>7</v>
      </c>
      <c r="V17" s="134">
        <v>60</v>
      </c>
      <c r="W17" s="135"/>
      <c r="X17" s="133">
        <v>147</v>
      </c>
      <c r="Y17" s="133">
        <v>150</v>
      </c>
      <c r="AA17" s="133"/>
      <c r="AB17" s="140">
        <v>6.8</v>
      </c>
      <c r="AC17" s="140">
        <v>8.1999999999999993</v>
      </c>
      <c r="AX17" s="23"/>
      <c r="AY17" s="23"/>
      <c r="AZ17" s="23"/>
      <c r="BA17" s="23"/>
      <c r="BB17" s="23"/>
      <c r="BQ17" s="21"/>
      <c r="BR17" s="21"/>
      <c r="BS17" s="21"/>
      <c r="BT17" s="21"/>
      <c r="BU17" s="21"/>
      <c r="BV17" s="20"/>
    </row>
    <row r="18" spans="1:105" ht="13.5" thickBot="1" x14ac:dyDescent="0.25">
      <c r="A18" s="120" t="s">
        <v>158</v>
      </c>
      <c r="B18" s="121" t="s">
        <v>171</v>
      </c>
      <c r="C18" s="105"/>
      <c r="D18" s="106"/>
      <c r="E18" s="6"/>
      <c r="F18" s="7" t="s">
        <v>19</v>
      </c>
      <c r="G18" s="94">
        <f>IF(K4="No",AE4,J10)</f>
        <v>220.00000000000003</v>
      </c>
      <c r="I18" s="199" t="s">
        <v>52</v>
      </c>
      <c r="J18" s="200"/>
      <c r="L18" s="2"/>
      <c r="R18" s="134" t="s">
        <v>155</v>
      </c>
      <c r="S18" s="134">
        <v>1</v>
      </c>
      <c r="T18" s="134">
        <v>0.59099999999999997</v>
      </c>
      <c r="U18" s="134">
        <v>7</v>
      </c>
      <c r="V18" s="134">
        <v>60</v>
      </c>
      <c r="W18" s="135"/>
      <c r="X18" s="133">
        <v>150</v>
      </c>
      <c r="Y18" s="133">
        <v>154</v>
      </c>
      <c r="AA18" s="133"/>
      <c r="AB18" s="140">
        <v>8.1999999999999993</v>
      </c>
      <c r="AC18" s="140">
        <v>10</v>
      </c>
      <c r="AK18" s="92"/>
      <c r="AX18" s="23"/>
      <c r="AY18" s="23"/>
      <c r="AZ18" s="23"/>
      <c r="BA18" s="23"/>
      <c r="BB18" s="23"/>
      <c r="BQ18" s="21"/>
      <c r="BR18" s="21"/>
      <c r="BS18" s="21"/>
      <c r="BT18" s="21"/>
      <c r="BU18" s="21"/>
      <c r="BV18" s="20"/>
      <c r="CJ18" s="113"/>
    </row>
    <row r="19" spans="1:105" ht="13.5" thickBot="1" x14ac:dyDescent="0.25">
      <c r="A19" s="201" t="str">
        <f>IF(A20="RT","Enter for circuit parameters:",IF(A20="fsw = ","Enter for circuit parameters:",""))</f>
        <v>Enter for circuit parameters:</v>
      </c>
      <c r="B19" s="202"/>
      <c r="C19" s="203"/>
      <c r="E19" s="3"/>
      <c r="F19" s="9" t="s">
        <v>20</v>
      </c>
      <c r="G19" s="95">
        <f>IF(K4="No",AE5,J11)</f>
        <v>12</v>
      </c>
      <c r="I19" s="7" t="s">
        <v>101</v>
      </c>
      <c r="J19" s="98">
        <f>D76</f>
        <v>49045.322136799034</v>
      </c>
      <c r="K19" s="5"/>
      <c r="L19" s="5"/>
      <c r="R19" s="134" t="s">
        <v>74</v>
      </c>
      <c r="S19" s="134">
        <v>1</v>
      </c>
      <c r="T19" s="134">
        <v>0.59099999999999997</v>
      </c>
      <c r="U19" s="134">
        <v>7</v>
      </c>
      <c r="V19" s="134">
        <v>60</v>
      </c>
      <c r="W19" s="135"/>
      <c r="X19" s="133">
        <v>154</v>
      </c>
      <c r="Y19" s="133">
        <v>160</v>
      </c>
      <c r="AA19" s="133"/>
      <c r="AB19" s="139" t="s">
        <v>77</v>
      </c>
      <c r="AD19" s="140"/>
      <c r="AE19" s="140"/>
      <c r="AX19" s="23"/>
      <c r="AY19" s="23"/>
      <c r="AZ19" s="23"/>
      <c r="BA19" s="23"/>
      <c r="BB19" s="23"/>
      <c r="BQ19" s="21"/>
      <c r="BR19" s="21"/>
      <c r="BS19" s="21"/>
      <c r="BT19" s="21"/>
      <c r="BU19" s="21"/>
      <c r="BV19" s="20"/>
    </row>
    <row r="20" spans="1:105" x14ac:dyDescent="0.2">
      <c r="A20" s="118" t="str">
        <f>IF(A21="RKFF","RT",IF(IC="TPS40400","fsw = ",""))</f>
        <v>RT</v>
      </c>
      <c r="B20" s="122">
        <v>100</v>
      </c>
      <c r="C20" s="36" t="str">
        <f>IF(A20="RT","kΩ",IF(A20="fsw = ","kHz",""))</f>
        <v>kΩ</v>
      </c>
      <c r="E20" s="3"/>
      <c r="I20" s="19" t="s">
        <v>53</v>
      </c>
      <c r="J20" s="46">
        <f>F48+F50</f>
        <v>53.69324274588422</v>
      </c>
      <c r="R20" s="141" t="s">
        <v>70</v>
      </c>
      <c r="S20" s="134">
        <f>VIN/10</f>
        <v>2.4</v>
      </c>
      <c r="T20" s="134">
        <v>0.69599999999999995</v>
      </c>
      <c r="U20" s="134">
        <v>1.5</v>
      </c>
      <c r="V20" s="134">
        <v>60</v>
      </c>
      <c r="W20" s="135"/>
      <c r="X20" s="133">
        <v>160</v>
      </c>
      <c r="Y20" s="133">
        <v>162</v>
      </c>
      <c r="Z20" s="128" t="s">
        <v>159</v>
      </c>
      <c r="AA20" s="133"/>
      <c r="AB20" s="140">
        <v>1</v>
      </c>
      <c r="AC20" s="140">
        <v>1.5</v>
      </c>
      <c r="AX20" s="23"/>
      <c r="AY20" s="23"/>
      <c r="AZ20" s="23"/>
      <c r="BA20" s="23"/>
      <c r="BB20" s="23"/>
      <c r="BQ20" s="21"/>
      <c r="BR20" s="21"/>
      <c r="BS20" s="21"/>
      <c r="BT20" s="21"/>
      <c r="BU20" s="21"/>
      <c r="BV20" s="20"/>
      <c r="CG20" s="115"/>
    </row>
    <row r="21" spans="1:105" ht="13.5" thickBot="1" x14ac:dyDescent="0.25">
      <c r="A21" s="119" t="str">
        <f>IF(IC="TPS40055","RKFF",IF(IC="TPS40057","RKFF",IF(IC="TPS40075","RKFF",IF(IC="TPS40077","RKFF",""))))</f>
        <v>RKFF</v>
      </c>
      <c r="B21" s="126">
        <v>56</v>
      </c>
      <c r="C21" s="123" t="str">
        <f>IF(A21="RKFF","kΩ","")</f>
        <v>kΩ</v>
      </c>
      <c r="E21" s="3"/>
      <c r="I21" s="9" t="s">
        <v>105</v>
      </c>
      <c r="J21" s="47">
        <f>VREF/R_4*R_1+VREF</f>
        <v>5.5125000000000002</v>
      </c>
      <c r="K21" s="3"/>
      <c r="L21" s="3"/>
      <c r="R21" s="134" t="s">
        <v>174</v>
      </c>
      <c r="S21" s="134">
        <f>VIN/6</f>
        <v>4</v>
      </c>
      <c r="T21" s="134">
        <v>0.6</v>
      </c>
      <c r="U21" s="134">
        <v>10</v>
      </c>
      <c r="V21" s="134">
        <v>60</v>
      </c>
      <c r="W21" s="135"/>
      <c r="X21" s="133">
        <v>162</v>
      </c>
      <c r="Y21" s="133">
        <v>169</v>
      </c>
      <c r="Z21" s="145">
        <v>2000</v>
      </c>
      <c r="AA21" s="133"/>
      <c r="AB21" s="140">
        <v>1.5</v>
      </c>
      <c r="AC21" s="140">
        <v>2.2000000000000002</v>
      </c>
      <c r="AE21" s="146"/>
      <c r="AX21" s="23"/>
      <c r="AY21" s="23"/>
      <c r="AZ21" s="23"/>
      <c r="BA21" s="23"/>
      <c r="BB21" s="23"/>
      <c r="BQ21" s="21"/>
      <c r="BR21" s="21"/>
      <c r="BS21" s="21"/>
      <c r="BT21" s="21"/>
      <c r="BU21" s="21"/>
      <c r="BV21" s="20"/>
      <c r="CG21" s="115"/>
    </row>
    <row r="22" spans="1:105" x14ac:dyDescent="0.2">
      <c r="A22" s="192" t="s">
        <v>188</v>
      </c>
      <c r="B22" s="124"/>
      <c r="C22" s="125"/>
      <c r="E22" s="3"/>
      <c r="R22" s="134" t="s">
        <v>175</v>
      </c>
      <c r="S22" s="134">
        <f>VIN/6</f>
        <v>4</v>
      </c>
      <c r="T22" s="134">
        <v>0.6</v>
      </c>
      <c r="U22" s="134">
        <v>10</v>
      </c>
      <c r="V22" s="134">
        <v>60</v>
      </c>
      <c r="W22" s="135"/>
      <c r="X22" s="133">
        <v>169</v>
      </c>
      <c r="Y22" s="133">
        <v>178</v>
      </c>
      <c r="Z22" s="147">
        <v>511</v>
      </c>
      <c r="AA22" s="133"/>
      <c r="AB22" s="140">
        <v>2.2000000000000002</v>
      </c>
      <c r="AC22" s="140">
        <v>3.3</v>
      </c>
      <c r="AE22" s="146"/>
      <c r="AX22" s="23"/>
      <c r="AY22" s="23"/>
      <c r="AZ22" s="23"/>
      <c r="BA22" s="23"/>
      <c r="BB22" s="23"/>
      <c r="BQ22" s="21"/>
      <c r="BR22" s="21"/>
      <c r="BS22" s="21"/>
      <c r="BT22" s="21"/>
      <c r="BU22" s="21"/>
      <c r="BV22" s="20"/>
      <c r="CF22" s="17"/>
      <c r="CG22" s="116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</row>
    <row r="23" spans="1:105" x14ac:dyDescent="0.2">
      <c r="E23" s="3"/>
      <c r="H23" s="5"/>
      <c r="K23" s="68"/>
      <c r="R23" s="134" t="s">
        <v>176</v>
      </c>
      <c r="S23" s="134">
        <f>VIN/6</f>
        <v>4</v>
      </c>
      <c r="T23" s="134">
        <v>0.6</v>
      </c>
      <c r="U23" s="134">
        <v>10</v>
      </c>
      <c r="V23" s="134">
        <v>60</v>
      </c>
      <c r="W23" s="135"/>
      <c r="X23" s="133">
        <v>178</v>
      </c>
      <c r="Y23" s="133">
        <v>180</v>
      </c>
      <c r="Z23" s="147">
        <v>750</v>
      </c>
      <c r="AA23" s="133"/>
      <c r="AB23" s="140">
        <v>3.3</v>
      </c>
      <c r="AC23" s="140">
        <v>4.7</v>
      </c>
      <c r="AE23" s="146"/>
      <c r="AX23" s="23"/>
      <c r="AY23" s="23"/>
      <c r="AZ23" s="23"/>
      <c r="BA23" s="23"/>
      <c r="BB23" s="23"/>
      <c r="BQ23" s="21"/>
      <c r="BR23" s="21"/>
      <c r="BS23" s="21"/>
      <c r="BT23" s="21"/>
      <c r="BU23" s="21"/>
      <c r="BV23" s="20"/>
      <c r="CF23" s="17"/>
      <c r="CG23" s="115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</row>
    <row r="24" spans="1:105" s="17" customFormat="1" x14ac:dyDescent="0.2">
      <c r="E24" s="100"/>
      <c r="H24" s="23"/>
      <c r="Q24" s="102"/>
      <c r="R24" s="141" t="s">
        <v>166</v>
      </c>
      <c r="S24" s="144">
        <f>VIN/8.15</f>
        <v>2.9447852760736195</v>
      </c>
      <c r="T24" s="134">
        <v>0.6</v>
      </c>
      <c r="U24" s="134">
        <v>24</v>
      </c>
      <c r="V24" s="134">
        <v>80</v>
      </c>
      <c r="W24" s="148"/>
      <c r="X24" s="133">
        <v>180</v>
      </c>
      <c r="Y24" s="133">
        <v>187</v>
      </c>
      <c r="Z24" s="147">
        <v>3010</v>
      </c>
      <c r="AA24" s="133"/>
      <c r="AB24" s="140">
        <v>4.7</v>
      </c>
      <c r="AC24" s="140">
        <v>6.8</v>
      </c>
      <c r="AD24" s="130"/>
      <c r="AE24" s="140"/>
      <c r="AF24" s="18"/>
      <c r="AG24" s="18"/>
      <c r="AH24" s="18"/>
      <c r="AI24" s="18"/>
      <c r="AJ24" s="18"/>
      <c r="AK24" s="13"/>
      <c r="AL24" s="13"/>
      <c r="AM24" s="13"/>
      <c r="AN24" s="13"/>
      <c r="AO24" s="13"/>
      <c r="AP24" s="1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CG24" s="115"/>
      <c r="CH24" s="1"/>
    </row>
    <row r="25" spans="1:105" s="17" customFormat="1" x14ac:dyDescent="0.2">
      <c r="E25" s="100"/>
      <c r="H25" s="101"/>
      <c r="Q25" s="102"/>
      <c r="R25" s="141" t="s">
        <v>180</v>
      </c>
      <c r="S25" s="144">
        <f>VIN*(-3*10^-5*B20+0.1615)</f>
        <v>3.8040000000000003</v>
      </c>
      <c r="T25" s="134">
        <v>0.6</v>
      </c>
      <c r="U25" s="134">
        <v>15</v>
      </c>
      <c r="V25" s="134">
        <v>60</v>
      </c>
      <c r="W25" s="148"/>
      <c r="X25" s="133">
        <v>187</v>
      </c>
      <c r="Y25" s="133">
        <v>196</v>
      </c>
      <c r="Z25" s="149">
        <v>4700</v>
      </c>
      <c r="AA25" s="133"/>
      <c r="AB25" s="140">
        <v>6.8</v>
      </c>
      <c r="AC25" s="140">
        <v>10</v>
      </c>
      <c r="AD25" s="130"/>
      <c r="AE25" s="140"/>
      <c r="AF25" s="18"/>
      <c r="AG25" s="18"/>
      <c r="AH25" s="18"/>
      <c r="AI25" s="18"/>
      <c r="AJ25" s="18"/>
      <c r="AK25" s="13"/>
      <c r="AL25" s="13"/>
      <c r="AM25" s="13"/>
      <c r="AN25" s="13"/>
      <c r="AO25" s="13"/>
      <c r="AP25" s="1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</row>
    <row r="26" spans="1:105" s="17" customFormat="1" x14ac:dyDescent="0.2">
      <c r="E26" s="100"/>
      <c r="F26" s="100"/>
      <c r="G26" s="100"/>
      <c r="H26" s="100"/>
      <c r="I26" s="100"/>
      <c r="Q26" s="102"/>
      <c r="R26" s="141" t="s">
        <v>187</v>
      </c>
      <c r="S26" s="144">
        <f>VIN/8.2</f>
        <v>2.9268292682926833</v>
      </c>
      <c r="T26" s="134">
        <v>0.6</v>
      </c>
      <c r="U26" s="134">
        <v>24</v>
      </c>
      <c r="V26" s="134">
        <v>80</v>
      </c>
      <c r="W26" s="148"/>
      <c r="X26" s="133">
        <v>196</v>
      </c>
      <c r="Y26" s="133">
        <v>200</v>
      </c>
      <c r="Z26" s="149">
        <v>82000</v>
      </c>
      <c r="AA26" s="130"/>
      <c r="AB26" s="130"/>
      <c r="AC26" s="130"/>
      <c r="AD26" s="130"/>
      <c r="AE26" s="130"/>
      <c r="AF26" s="18"/>
      <c r="AG26" s="18"/>
      <c r="AH26" s="18"/>
      <c r="AI26" s="18"/>
      <c r="AJ26" s="18"/>
      <c r="AK26" s="13"/>
      <c r="AL26" s="13"/>
      <c r="AM26" s="13"/>
      <c r="AN26" s="13"/>
      <c r="AO26" s="13"/>
      <c r="AP26" s="1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</row>
    <row r="27" spans="1:105" s="17" customFormat="1" x14ac:dyDescent="0.2">
      <c r="E27" s="100"/>
      <c r="F27" s="100"/>
      <c r="G27" s="100"/>
      <c r="H27" s="100"/>
      <c r="I27" s="100"/>
      <c r="Q27" s="102"/>
      <c r="R27" s="150" t="s">
        <v>183</v>
      </c>
      <c r="S27" s="150">
        <v>1.5</v>
      </c>
      <c r="T27" s="150">
        <v>0.8</v>
      </c>
      <c r="U27" s="150">
        <v>16</v>
      </c>
      <c r="V27" s="150">
        <v>89</v>
      </c>
      <c r="W27" s="148"/>
      <c r="X27" s="133">
        <v>200</v>
      </c>
      <c r="Y27" s="133">
        <v>205</v>
      </c>
      <c r="Z27" s="149">
        <v>2.2000000000000002</v>
      </c>
      <c r="AA27" s="130"/>
      <c r="AB27" s="130"/>
      <c r="AC27" s="130"/>
      <c r="AD27" s="130"/>
      <c r="AE27" s="133"/>
      <c r="AF27" s="18"/>
      <c r="AG27" s="18"/>
      <c r="AH27" s="18"/>
      <c r="AI27" s="18"/>
      <c r="AJ27" s="18"/>
      <c r="AK27" s="13"/>
      <c r="AL27" s="13"/>
      <c r="AM27" s="13"/>
      <c r="AN27" s="13"/>
      <c r="AO27" s="13"/>
      <c r="AP27" s="1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</row>
    <row r="28" spans="1:105" s="17" customFormat="1" x14ac:dyDescent="0.2">
      <c r="E28" s="100"/>
      <c r="Q28" s="102"/>
      <c r="R28" s="134" t="s">
        <v>160</v>
      </c>
      <c r="S28" s="151">
        <f>(S39-T39)*35000</f>
        <v>0.81565667166666678</v>
      </c>
      <c r="T28" s="134">
        <v>0.85</v>
      </c>
      <c r="U28" s="134">
        <v>2.5</v>
      </c>
      <c r="V28" s="134">
        <v>50</v>
      </c>
      <c r="W28" s="148"/>
      <c r="X28" s="133">
        <v>205</v>
      </c>
      <c r="Y28" s="133">
        <v>215</v>
      </c>
      <c r="Z28" s="136"/>
      <c r="AA28" s="130"/>
      <c r="AB28" s="130"/>
      <c r="AC28" s="130"/>
      <c r="AD28" s="130"/>
      <c r="AE28" s="130"/>
      <c r="AF28" s="18"/>
      <c r="AG28" s="18"/>
      <c r="AH28" s="18"/>
      <c r="AI28" s="18"/>
      <c r="AJ28" s="18"/>
      <c r="AK28" s="13"/>
      <c r="AL28" s="13"/>
      <c r="AM28" s="13"/>
      <c r="AN28" s="13"/>
      <c r="AO28" s="13"/>
      <c r="AP28" s="1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</row>
    <row r="29" spans="1:105" s="17" customFormat="1" x14ac:dyDescent="0.2">
      <c r="E29" s="100"/>
      <c r="Q29" s="102"/>
      <c r="R29" s="134" t="s">
        <v>165</v>
      </c>
      <c r="S29" s="134">
        <f>VIN/4</f>
        <v>6</v>
      </c>
      <c r="T29" s="134">
        <v>0.6</v>
      </c>
      <c r="U29" s="134">
        <v>14</v>
      </c>
      <c r="V29" s="134">
        <v>80</v>
      </c>
      <c r="W29" s="148"/>
      <c r="X29" s="133">
        <v>215</v>
      </c>
      <c r="Y29" s="133">
        <v>220</v>
      </c>
      <c r="Z29" s="130"/>
      <c r="AA29" s="130"/>
      <c r="AB29" s="130"/>
      <c r="AC29" s="130"/>
      <c r="AD29" s="130"/>
      <c r="AE29" s="130"/>
      <c r="AF29" s="18"/>
      <c r="AG29" s="18"/>
      <c r="AH29" s="18"/>
      <c r="AI29" s="18"/>
      <c r="AJ29" s="18"/>
      <c r="AK29" s="13"/>
      <c r="AL29" s="13"/>
      <c r="AM29" s="13"/>
      <c r="AN29" s="13"/>
      <c r="AO29" s="13"/>
      <c r="AP29" s="1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</row>
    <row r="30" spans="1:105" s="17" customFormat="1" x14ac:dyDescent="0.2">
      <c r="B30" s="99"/>
      <c r="C30" s="99"/>
      <c r="D30" s="99"/>
      <c r="Q30" s="102"/>
      <c r="R30" s="134" t="s">
        <v>177</v>
      </c>
      <c r="S30" s="134">
        <f>VIN/6</f>
        <v>4</v>
      </c>
      <c r="T30" s="134">
        <v>0.6</v>
      </c>
      <c r="U30" s="134">
        <v>24</v>
      </c>
      <c r="V30" s="134">
        <v>60</v>
      </c>
      <c r="W30" s="148"/>
      <c r="X30" s="133">
        <v>220</v>
      </c>
      <c r="Y30" s="133">
        <v>226</v>
      </c>
      <c r="Z30" s="130"/>
      <c r="AA30" s="130"/>
      <c r="AB30" s="130"/>
      <c r="AC30" s="130"/>
      <c r="AD30" s="130"/>
      <c r="AE30" s="130"/>
      <c r="AF30" s="18"/>
      <c r="AG30" s="18"/>
      <c r="AH30" s="18"/>
      <c r="AI30" s="18"/>
      <c r="AJ30" s="18"/>
      <c r="AK30" s="13"/>
      <c r="AL30" s="13"/>
      <c r="AM30" s="13"/>
      <c r="AN30" s="13"/>
      <c r="AO30" s="13"/>
      <c r="AP30" s="1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</row>
    <row r="31" spans="1:105" s="17" customFormat="1" x14ac:dyDescent="0.2">
      <c r="Q31" s="102"/>
      <c r="R31" s="134" t="s">
        <v>178</v>
      </c>
      <c r="S31" s="134">
        <f>VIN/6</f>
        <v>4</v>
      </c>
      <c r="T31" s="134">
        <v>0.6</v>
      </c>
      <c r="U31" s="134">
        <v>24</v>
      </c>
      <c r="V31" s="134">
        <v>60</v>
      </c>
      <c r="W31" s="148"/>
      <c r="X31" s="133">
        <v>226</v>
      </c>
      <c r="Y31" s="133">
        <v>237</v>
      </c>
      <c r="Z31" s="130"/>
      <c r="AA31" s="130"/>
      <c r="AB31" s="130"/>
      <c r="AC31" s="152"/>
      <c r="AD31" s="130"/>
      <c r="AE31" s="130"/>
      <c r="AF31" s="18"/>
      <c r="AG31" s="18"/>
      <c r="AH31" s="18"/>
      <c r="AI31" s="18"/>
      <c r="AJ31" s="18"/>
      <c r="AK31" s="13"/>
      <c r="AL31" s="13"/>
      <c r="AM31" s="13"/>
      <c r="AN31" s="13"/>
      <c r="AO31" s="13"/>
      <c r="AP31" s="1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</row>
    <row r="32" spans="1:105" s="17" customFormat="1" x14ac:dyDescent="0.2">
      <c r="Q32" s="102"/>
      <c r="R32" s="150" t="s">
        <v>184</v>
      </c>
      <c r="S32" s="150">
        <f>VIN/4</f>
        <v>6</v>
      </c>
      <c r="T32" s="150">
        <v>0.6</v>
      </c>
      <c r="U32" s="150">
        <v>14</v>
      </c>
      <c r="V32" s="150">
        <v>80</v>
      </c>
      <c r="W32" s="148"/>
      <c r="X32" s="133">
        <v>237</v>
      </c>
      <c r="Y32" s="133">
        <v>240</v>
      </c>
      <c r="Z32" s="130"/>
      <c r="AA32" s="130"/>
      <c r="AB32" s="130"/>
      <c r="AC32" s="152"/>
      <c r="AD32" s="130"/>
      <c r="AE32" s="130"/>
      <c r="AF32" s="18"/>
      <c r="AG32" s="18"/>
      <c r="AH32" s="18"/>
      <c r="AI32" s="18"/>
      <c r="AJ32" s="18"/>
      <c r="AK32" s="13"/>
      <c r="AL32" s="13"/>
      <c r="AM32" s="13"/>
      <c r="AN32" s="13"/>
      <c r="AO32" s="13"/>
      <c r="AP32" s="1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</row>
    <row r="33" spans="1:105" s="17" customFormat="1" x14ac:dyDescent="0.2">
      <c r="D33" s="99"/>
      <c r="Q33" s="102"/>
      <c r="R33" s="150" t="s">
        <v>185</v>
      </c>
      <c r="S33" s="150">
        <f>VIN/9</f>
        <v>2.6666666666666665</v>
      </c>
      <c r="T33" s="150">
        <v>0.6</v>
      </c>
      <c r="U33" s="150">
        <v>14</v>
      </c>
      <c r="V33" s="150">
        <v>80</v>
      </c>
      <c r="W33" s="148"/>
      <c r="X33" s="133">
        <v>240</v>
      </c>
      <c r="Y33" s="133">
        <v>249</v>
      </c>
      <c r="Z33" s="130"/>
      <c r="AA33" s="130"/>
      <c r="AB33" s="130"/>
      <c r="AC33" s="130"/>
      <c r="AD33" s="130"/>
      <c r="AE33" s="130"/>
      <c r="AF33" s="18"/>
      <c r="AG33" s="18"/>
      <c r="AH33" s="18"/>
      <c r="AI33" s="18"/>
      <c r="AJ33" s="18"/>
      <c r="AK33" s="13"/>
      <c r="AL33" s="13"/>
      <c r="AM33" s="13"/>
      <c r="AN33" s="13"/>
      <c r="AO33" s="13"/>
      <c r="AP33" s="1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</row>
    <row r="34" spans="1:105" s="17" customFormat="1" x14ac:dyDescent="0.2">
      <c r="D34" s="99"/>
      <c r="Q34" s="102"/>
      <c r="R34" s="150"/>
      <c r="S34" s="150"/>
      <c r="T34" s="150"/>
      <c r="U34" s="150"/>
      <c r="V34" s="150"/>
      <c r="W34" s="153"/>
      <c r="X34" s="133">
        <v>249</v>
      </c>
      <c r="Y34" s="133">
        <v>261</v>
      </c>
      <c r="Z34" s="130"/>
      <c r="AA34" s="130"/>
      <c r="AB34" s="130"/>
      <c r="AC34" s="130"/>
      <c r="AD34" s="130"/>
      <c r="AE34" s="130"/>
      <c r="AF34" s="110"/>
      <c r="AG34" s="92"/>
      <c r="AH34" s="92"/>
      <c r="AI34" s="92"/>
      <c r="AJ34" s="92"/>
      <c r="AK34" s="13"/>
      <c r="AL34" s="13"/>
      <c r="AM34" s="13"/>
      <c r="AN34" s="13"/>
      <c r="AO34" s="13"/>
      <c r="AP34" s="1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</row>
    <row r="35" spans="1:105" s="17" customFormat="1" x14ac:dyDescent="0.2">
      <c r="Q35" s="102"/>
      <c r="R35" s="154"/>
      <c r="S35" s="154"/>
      <c r="T35" s="154"/>
      <c r="U35" s="154"/>
      <c r="V35" s="154"/>
      <c r="W35" s="155"/>
      <c r="X35" s="133">
        <v>261</v>
      </c>
      <c r="Y35" s="133">
        <v>270</v>
      </c>
      <c r="Z35" s="130"/>
      <c r="AA35" s="130"/>
      <c r="AB35" s="130"/>
      <c r="AC35" s="130"/>
      <c r="AD35" s="130"/>
      <c r="AE35" s="130"/>
      <c r="AF35" s="111"/>
      <c r="AG35" s="111"/>
      <c r="AH35" s="92"/>
      <c r="AI35" s="13"/>
      <c r="AJ35" s="13"/>
      <c r="AK35" s="13"/>
      <c r="AL35" s="13"/>
      <c r="AM35" s="13"/>
      <c r="AN35" s="13"/>
      <c r="AO35" s="13"/>
      <c r="AP35" s="1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</row>
    <row r="36" spans="1:105" s="17" customFormat="1" x14ac:dyDescent="0.2">
      <c r="Q36" s="102"/>
      <c r="R36" s="156"/>
      <c r="S36" s="156"/>
      <c r="T36" s="156"/>
      <c r="U36" s="156"/>
      <c r="V36" s="156"/>
      <c r="W36" s="155"/>
      <c r="X36" s="133">
        <v>270</v>
      </c>
      <c r="Y36" s="133">
        <v>274</v>
      </c>
      <c r="Z36" s="136"/>
      <c r="AA36" s="157"/>
      <c r="AB36" s="130"/>
      <c r="AC36" s="130"/>
      <c r="AD36" s="158"/>
      <c r="AE36" s="130"/>
      <c r="AF36" s="109"/>
      <c r="AG36" s="109"/>
      <c r="AH36" s="92"/>
      <c r="AI36" s="13"/>
      <c r="AJ36" s="13"/>
      <c r="AK36" s="13"/>
      <c r="AL36" s="13"/>
      <c r="AM36" s="13"/>
      <c r="AN36" s="13"/>
      <c r="AO36" s="13"/>
      <c r="AP36" s="1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</row>
    <row r="37" spans="1:105" s="17" customFormat="1" x14ac:dyDescent="0.2">
      <c r="Q37" s="102"/>
      <c r="R37" s="130"/>
      <c r="S37" s="131" t="s">
        <v>164</v>
      </c>
      <c r="T37" s="132"/>
      <c r="U37" s="132"/>
      <c r="V37" s="132"/>
      <c r="W37" s="128"/>
      <c r="X37" s="133">
        <v>274</v>
      </c>
      <c r="Y37" s="133">
        <v>287</v>
      </c>
      <c r="Z37" s="130"/>
      <c r="AA37" s="130"/>
      <c r="AB37" s="130"/>
      <c r="AC37" s="130"/>
      <c r="AD37" s="158"/>
      <c r="AE37" s="130"/>
      <c r="AF37" s="111"/>
      <c r="AG37" s="111"/>
      <c r="AH37" s="92"/>
      <c r="AI37" s="13"/>
      <c r="AJ37" s="13"/>
      <c r="AK37" s="13"/>
      <c r="AL37" s="13"/>
      <c r="AM37" s="13"/>
      <c r="AN37" s="13"/>
      <c r="AO37" s="13"/>
      <c r="AP37" s="1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</row>
    <row r="38" spans="1:105" s="17" customFormat="1" x14ac:dyDescent="0.2">
      <c r="Q38" s="102"/>
      <c r="R38" s="159" t="s">
        <v>161</v>
      </c>
      <c r="S38" s="159" t="s">
        <v>162</v>
      </c>
      <c r="T38" s="159" t="s">
        <v>163</v>
      </c>
      <c r="U38" s="132"/>
      <c r="V38" s="132"/>
      <c r="W38" s="128"/>
      <c r="X38" s="133">
        <v>287</v>
      </c>
      <c r="Y38" s="133">
        <v>300</v>
      </c>
      <c r="Z38" s="130"/>
      <c r="AA38" s="130"/>
      <c r="AB38" s="130"/>
      <c r="AC38" s="130"/>
      <c r="AD38" s="158"/>
      <c r="AE38" s="130"/>
      <c r="AF38" s="111"/>
      <c r="AG38" s="111"/>
      <c r="AH38" s="92"/>
      <c r="AI38" s="13"/>
      <c r="AJ38" s="13"/>
      <c r="AK38" s="13"/>
      <c r="AL38" s="13"/>
      <c r="AM38" s="13"/>
      <c r="AN38" s="13"/>
      <c r="AO38" s="13"/>
      <c r="AP38" s="1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</row>
    <row r="39" spans="1:105" s="17" customFormat="1" x14ac:dyDescent="0.2">
      <c r="Q39" s="102"/>
      <c r="R39" s="160">
        <f>IF((VIN-8*0.65)/120&gt;0,(VIN-8*0.65)/120,0)</f>
        <v>0.15666666666666668</v>
      </c>
      <c r="S39" s="160">
        <f>IF((R39*2.91223+1.185)&lt;2.37,(R39*9.67307+1.185)*10^-5,2.37*10^-5)</f>
        <v>2.7004476333333336E-5</v>
      </c>
      <c r="T39" s="160">
        <f>IF((R39*2.96+0.085)&lt;0.37,(R39*2.96+0.185)*10^-5,3.7*10^-6)</f>
        <v>3.7000000000000002E-6</v>
      </c>
      <c r="U39" s="132"/>
      <c r="V39" s="132"/>
      <c r="W39" s="128"/>
      <c r="X39" s="133">
        <v>300</v>
      </c>
      <c r="Y39" s="133">
        <v>301</v>
      </c>
      <c r="Z39" s="130"/>
      <c r="AA39" s="130"/>
      <c r="AB39" s="130"/>
      <c r="AC39" s="152"/>
      <c r="AD39" s="130"/>
      <c r="AE39" s="130"/>
      <c r="AF39" s="13"/>
      <c r="AG39" s="111"/>
      <c r="AH39" s="92"/>
      <c r="AI39" s="13"/>
      <c r="AJ39" s="13"/>
      <c r="AK39" s="13"/>
      <c r="AL39" s="13"/>
      <c r="AM39" s="13"/>
      <c r="AN39" s="13"/>
      <c r="AO39" s="13"/>
      <c r="AP39" s="1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</row>
    <row r="40" spans="1:105" s="17" customFormat="1" x14ac:dyDescent="0.2">
      <c r="Q40" s="102"/>
      <c r="R40" s="128"/>
      <c r="S40" s="128"/>
      <c r="T40" s="128"/>
      <c r="U40" s="128"/>
      <c r="V40" s="128"/>
      <c r="W40" s="128"/>
      <c r="X40" s="133">
        <v>301</v>
      </c>
      <c r="Y40" s="133">
        <v>316</v>
      </c>
      <c r="Z40" s="130"/>
      <c r="AA40" s="130"/>
      <c r="AB40" s="130"/>
      <c r="AC40" s="152"/>
      <c r="AD40" s="130"/>
      <c r="AE40" s="130"/>
      <c r="AF40" s="13"/>
      <c r="AG40" s="109"/>
      <c r="AH40" s="92"/>
      <c r="AI40" s="13"/>
      <c r="AJ40" s="13"/>
      <c r="AK40" s="13"/>
      <c r="AL40" s="13"/>
      <c r="AM40" s="13"/>
      <c r="AN40" s="13"/>
      <c r="AO40" s="13"/>
      <c r="AP40" s="1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</row>
    <row r="41" spans="1:105" s="17" customFormat="1" x14ac:dyDescent="0.2">
      <c r="Q41" s="102"/>
      <c r="R41" s="128"/>
      <c r="S41" s="128"/>
      <c r="T41" s="128"/>
      <c r="U41" s="128"/>
      <c r="V41" s="128"/>
      <c r="W41" s="128"/>
      <c r="X41" s="133">
        <v>316</v>
      </c>
      <c r="Y41" s="133">
        <v>330</v>
      </c>
      <c r="Z41" s="130"/>
      <c r="AA41" s="130"/>
      <c r="AB41" s="130"/>
      <c r="AC41" s="152"/>
      <c r="AD41" s="130"/>
      <c r="AE41" s="130"/>
      <c r="AF41" s="13"/>
      <c r="AG41" s="111"/>
      <c r="AH41" s="92"/>
      <c r="AI41" s="13"/>
      <c r="AJ41" s="13"/>
      <c r="AK41" s="13"/>
      <c r="AL41" s="13"/>
      <c r="AM41" s="13"/>
      <c r="AN41" s="13"/>
      <c r="AO41" s="13"/>
      <c r="AP41" s="1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</row>
    <row r="42" spans="1:105" s="17" customFormat="1" x14ac:dyDescent="0.2">
      <c r="Q42" s="102"/>
      <c r="R42" s="128"/>
      <c r="S42" s="128"/>
      <c r="T42" s="128"/>
      <c r="U42" s="128"/>
      <c r="V42" s="128"/>
      <c r="W42" s="128"/>
      <c r="X42" s="133">
        <v>330</v>
      </c>
      <c r="Y42" s="133">
        <v>332</v>
      </c>
      <c r="Z42" s="130"/>
      <c r="AA42" s="130"/>
      <c r="AB42" s="130"/>
      <c r="AC42" s="152"/>
      <c r="AD42" s="130"/>
      <c r="AE42" s="130"/>
      <c r="AF42" s="13"/>
      <c r="AG42" s="111"/>
      <c r="AH42" s="92"/>
      <c r="AI42" s="13"/>
      <c r="AJ42" s="13"/>
      <c r="AK42" s="13"/>
      <c r="AL42" s="13"/>
      <c r="AM42" s="13"/>
      <c r="AN42" s="13"/>
      <c r="AO42" s="13"/>
      <c r="AP42" s="1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</row>
    <row r="43" spans="1:105" s="17" customFormat="1" x14ac:dyDescent="0.2">
      <c r="A43" s="18" t="s">
        <v>181</v>
      </c>
      <c r="B43" s="18"/>
      <c r="C43" s="18"/>
      <c r="D43" s="18"/>
      <c r="E43" s="18"/>
      <c r="F43" s="18"/>
      <c r="G43" s="18"/>
      <c r="H43" s="18"/>
      <c r="Q43" s="102"/>
      <c r="R43" s="128"/>
      <c r="S43" s="128"/>
      <c r="T43" s="128"/>
      <c r="U43" s="128"/>
      <c r="V43" s="128"/>
      <c r="W43" s="128"/>
      <c r="X43" s="133">
        <v>332</v>
      </c>
      <c r="Y43" s="133">
        <v>348</v>
      </c>
      <c r="Z43" s="130"/>
      <c r="AA43" s="130"/>
      <c r="AB43" s="130"/>
      <c r="AC43" s="130"/>
      <c r="AD43" s="130"/>
      <c r="AE43" s="130"/>
      <c r="AF43" s="13"/>
      <c r="AG43" s="111"/>
      <c r="AH43" s="92"/>
      <c r="AI43" s="13"/>
      <c r="AJ43" s="13"/>
      <c r="AK43" s="13"/>
      <c r="AL43" s="13"/>
      <c r="AM43" s="13"/>
      <c r="AN43" s="13"/>
      <c r="AO43" s="13"/>
      <c r="AP43" s="1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</row>
    <row r="44" spans="1:105" s="166" customFormat="1" ht="14.25" customHeight="1" x14ac:dyDescent="0.2">
      <c r="A44" s="128" t="s">
        <v>134</v>
      </c>
      <c r="B44" s="128"/>
      <c r="C44" s="128"/>
      <c r="D44" s="128"/>
      <c r="E44" s="128"/>
      <c r="F44" s="128"/>
      <c r="G44" s="128"/>
      <c r="H44" s="128"/>
      <c r="I44" s="128"/>
      <c r="Q44" s="128"/>
      <c r="R44" s="128"/>
      <c r="S44" s="128"/>
      <c r="T44" s="128"/>
      <c r="U44" s="128"/>
      <c r="V44" s="128"/>
      <c r="W44" s="128"/>
      <c r="X44" s="133">
        <v>348</v>
      </c>
      <c r="Y44" s="133">
        <v>360</v>
      </c>
      <c r="Z44" s="130"/>
      <c r="AA44" s="130"/>
      <c r="AB44" s="130"/>
      <c r="AC44" s="130"/>
      <c r="AD44" s="130"/>
      <c r="AE44" s="130"/>
      <c r="AF44" s="130"/>
      <c r="AG44" s="140"/>
      <c r="AH44" s="132"/>
      <c r="AI44" s="130"/>
      <c r="AJ44" s="130"/>
      <c r="AK44" s="130"/>
      <c r="AL44" s="130"/>
      <c r="AM44" s="130"/>
      <c r="AN44" s="130"/>
      <c r="AO44" s="130"/>
      <c r="AP44" s="130"/>
      <c r="AQ44" s="130"/>
      <c r="AR44" s="130"/>
      <c r="AS44" s="130"/>
      <c r="AT44" s="130"/>
      <c r="AU44" s="130"/>
      <c r="AV44" s="130"/>
      <c r="AW44" s="130"/>
      <c r="AX44" s="130"/>
      <c r="AY44" s="130"/>
      <c r="AZ44" s="130"/>
      <c r="BA44" s="130"/>
      <c r="BB44" s="130"/>
      <c r="BC44" s="130"/>
      <c r="BD44" s="130"/>
      <c r="BE44" s="130"/>
      <c r="BF44" s="130"/>
      <c r="BG44" s="130"/>
      <c r="BH44" s="130"/>
      <c r="BI44" s="130"/>
      <c r="BJ44" s="130"/>
      <c r="BK44" s="130"/>
      <c r="BL44" s="130"/>
      <c r="BM44" s="130"/>
      <c r="BN44" s="130"/>
      <c r="BO44" s="130"/>
      <c r="BP44" s="130"/>
      <c r="BQ44" s="130"/>
      <c r="BR44" s="130"/>
      <c r="BS44" s="130"/>
      <c r="BT44" s="130"/>
      <c r="BU44" s="130"/>
    </row>
    <row r="45" spans="1:105" s="166" customFormat="1" x14ac:dyDescent="0.2">
      <c r="A45" s="128" t="s">
        <v>135</v>
      </c>
      <c r="B45" s="130"/>
      <c r="C45" s="128"/>
      <c r="D45" s="128"/>
      <c r="E45" s="128"/>
      <c r="F45" s="128"/>
      <c r="G45" s="128"/>
      <c r="H45" s="128"/>
      <c r="I45" s="128"/>
      <c r="Q45" s="128"/>
      <c r="R45" s="128"/>
      <c r="S45" s="128"/>
      <c r="T45" s="128"/>
      <c r="U45" s="128"/>
      <c r="V45" s="128"/>
      <c r="W45" s="128"/>
      <c r="X45" s="133">
        <v>360</v>
      </c>
      <c r="Y45" s="133">
        <v>365</v>
      </c>
      <c r="Z45" s="130"/>
      <c r="AA45" s="130"/>
      <c r="AB45" s="130"/>
      <c r="AC45" s="130"/>
      <c r="AD45" s="130"/>
      <c r="AE45" s="130"/>
      <c r="AF45" s="130"/>
      <c r="AG45" s="152"/>
      <c r="AH45" s="132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  <c r="AZ45" s="130"/>
      <c r="BA45" s="130"/>
      <c r="BB45" s="130"/>
      <c r="BC45" s="130"/>
      <c r="BD45" s="130"/>
      <c r="BE45" s="130"/>
      <c r="BF45" s="130"/>
      <c r="BG45" s="130"/>
      <c r="BH45" s="130"/>
      <c r="BI45" s="130"/>
      <c r="BJ45" s="130"/>
      <c r="BK45" s="130"/>
      <c r="BL45" s="130"/>
      <c r="BM45" s="130"/>
      <c r="BN45" s="130"/>
      <c r="BO45" s="130"/>
      <c r="BP45" s="130"/>
      <c r="BQ45" s="130"/>
      <c r="BR45" s="130"/>
      <c r="BS45" s="130"/>
      <c r="BT45" s="130"/>
      <c r="BU45" s="130"/>
    </row>
    <row r="46" spans="1:105" s="166" customFormat="1" x14ac:dyDescent="0.2">
      <c r="A46" s="130" t="s">
        <v>61</v>
      </c>
      <c r="B46" s="131">
        <f>IF(D13=0,10^-50,B13*D13)</f>
        <v>220</v>
      </c>
      <c r="C46" s="165" t="s">
        <v>2</v>
      </c>
      <c r="D46" s="128"/>
      <c r="E46" s="128"/>
      <c r="F46" s="132">
        <f>2*PI()*J19</f>
        <v>308160.84743582539</v>
      </c>
      <c r="G46" s="128"/>
      <c r="H46" s="128"/>
      <c r="I46" s="128"/>
      <c r="Q46" s="128"/>
      <c r="R46" s="128"/>
      <c r="S46" s="128"/>
      <c r="T46" s="128"/>
      <c r="U46" s="128"/>
      <c r="V46" s="128"/>
      <c r="W46" s="128"/>
      <c r="X46" s="133">
        <v>365</v>
      </c>
      <c r="Y46" s="133">
        <v>383</v>
      </c>
      <c r="Z46" s="130"/>
      <c r="AA46" s="130"/>
      <c r="AB46" s="130"/>
      <c r="AC46" s="130"/>
      <c r="AD46" s="130"/>
      <c r="AE46" s="130"/>
      <c r="AF46" s="130"/>
      <c r="AG46" s="152"/>
      <c r="AH46" s="132"/>
      <c r="AI46" s="130"/>
      <c r="AJ46" s="130"/>
      <c r="AK46" s="130"/>
      <c r="AL46" s="130"/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0"/>
      <c r="AX46" s="130"/>
      <c r="AY46" s="130"/>
      <c r="AZ46" s="130"/>
      <c r="BA46" s="130"/>
      <c r="BB46" s="130"/>
      <c r="BC46" s="130"/>
      <c r="BD46" s="130"/>
      <c r="BE46" s="130"/>
      <c r="BF46" s="130"/>
      <c r="BG46" s="130"/>
      <c r="BH46" s="130"/>
      <c r="BI46" s="130"/>
      <c r="BJ46" s="130"/>
      <c r="BK46" s="130"/>
      <c r="BL46" s="130"/>
      <c r="BM46" s="130"/>
      <c r="BN46" s="130"/>
      <c r="BO46" s="130"/>
      <c r="BP46" s="130"/>
      <c r="BQ46" s="130"/>
      <c r="BR46" s="130"/>
      <c r="BS46" s="130"/>
      <c r="BT46" s="130"/>
      <c r="BU46" s="130"/>
    </row>
    <row r="47" spans="1:105" s="166" customFormat="1" x14ac:dyDescent="0.2">
      <c r="A47" s="130" t="s">
        <v>62</v>
      </c>
      <c r="B47" s="131">
        <f>IF(D13=0,10^50,B14/D13)</f>
        <v>500</v>
      </c>
      <c r="C47" s="165" t="s">
        <v>47</v>
      </c>
      <c r="D47" s="128"/>
      <c r="E47" s="128"/>
      <c r="F47" s="137">
        <f>20*LOG(VIN/VRAMP*IMABS(IMDIV(IMDIV(IMPRODUCT(ROUT_min,COMPLEX(1,F46*COUT*10^-6*ESR*10^-3),COMPLEX(1,F46*MLCC*10^-6*MLCC_ESR*10^-3)),IMSUM(-(ROUT_min*ESR*10^-3+ROUT_min*MLCC_ESR*10^-3+MLCC_ESR*ESR*10^-6)*COUT*MLCC*10^-12*F46^2,COMPLEX(1,F46*((ROUT_min+ESR*10^-3)*COUT*10^-6+(ROUT_min+MLCC_ESR*10^-3)*MLCC*10^-6)))),IMSUM(COMPLEX(DCR*10^-3,F46*LOUT*10^-6),IMDIV(IMPRODUCT(ROUT_min,COMPLEX(1,F46*COUT*10^-6*ESR*10^-3),COMPLEX(1,F46*MLCC*10^-6*MLCC_ESR*10^-3)),IMSUM(-(ROUT_min*ESR*10^-3+ROUT_min*MLCC_ESR*10^-3+MLCC_ESR*ESR*10^-6)*COUT*MLCC*10^-12*F46^2,COMPLEX(1,F46*((ROUT_min+ESR*10^-3)*COUT*10^-6+(ROUT_min+MLCC_ESR*10^-3)*MLCC*10^-6))))))))</f>
        <v>-7.5072812815090177</v>
      </c>
      <c r="H47" s="166" t="str">
        <f>IMDIV(IMPRODUCT(IMDIV(IMPRODUCT(IMSUM(IMDIV(1,COMPLEX(0,F46*COUT*10^-6)),ESR*10^-3),IMSUM(IMDIV(1,COMPLEX(0,F46*MLCC*10^-6)),MLCC_ESR*10^-3)),IMSUM(IMSUM(IMDIV(1,COMPLEX(0,F46*COUT*10^-6)),ESR*10^-3),IMSUM(IMDIV(1,COMPLEX(0,F46*MLCC*10^-6)),MLCC_ESR*10^-3))),VOUT/IOUT_max),IMSUM(IMDIV(IMPRODUCT(IMSUM(IMDIV(1,COMPLEX(0,F46*COUT*10^-6)),ESR*10^-3),IMSUM(IMDIV(1,COMPLEX(0,F46*MLCC*10^-6)),MLCC_ESR*10^-3)),IMSUM(IMSUM(IMDIV(1,COMPLEX(0,F46*COUT*10^-6)),ESR*10^-3),IMSUM(IMDIV(1,COMPLEX(0,F46*MLCC*10^-6)),MLCC_ESR*10^-3))),VOUT/IOUT_max))</f>
        <v>0.0227186606645468-0.0670820392406119i</v>
      </c>
      <c r="I47" s="128"/>
      <c r="Q47" s="128"/>
      <c r="R47" s="128"/>
      <c r="S47" s="128"/>
      <c r="T47" s="128"/>
      <c r="U47" s="128"/>
      <c r="V47" s="128"/>
      <c r="W47" s="128"/>
      <c r="X47" s="133">
        <v>383</v>
      </c>
      <c r="Y47" s="133">
        <v>390</v>
      </c>
      <c r="Z47" s="130"/>
      <c r="AA47" s="130"/>
      <c r="AB47" s="130"/>
      <c r="AC47" s="130"/>
      <c r="AD47" s="130"/>
      <c r="AE47" s="130"/>
      <c r="AF47" s="130"/>
      <c r="AG47" s="152"/>
      <c r="AH47" s="132"/>
      <c r="AI47" s="130"/>
      <c r="AJ47" s="130"/>
      <c r="AK47" s="130"/>
      <c r="AL47" s="130"/>
      <c r="AM47" s="130"/>
      <c r="AN47" s="130"/>
      <c r="AO47" s="130"/>
      <c r="AP47" s="130"/>
      <c r="AQ47" s="130"/>
      <c r="AR47" s="130"/>
      <c r="AS47" s="130"/>
      <c r="AT47" s="130"/>
      <c r="AU47" s="130"/>
      <c r="AV47" s="130"/>
      <c r="AW47" s="130"/>
      <c r="AX47" s="130"/>
      <c r="AY47" s="130"/>
      <c r="AZ47" s="130"/>
      <c r="BA47" s="130"/>
      <c r="BB47" s="130"/>
      <c r="BC47" s="130"/>
      <c r="BD47" s="130"/>
      <c r="BE47" s="130"/>
      <c r="BF47" s="130"/>
      <c r="BG47" s="130"/>
      <c r="BH47" s="130"/>
      <c r="BI47" s="130"/>
      <c r="BJ47" s="130"/>
      <c r="BK47" s="130"/>
      <c r="BL47" s="130"/>
      <c r="BM47" s="130"/>
      <c r="BN47" s="130"/>
      <c r="BO47" s="130"/>
      <c r="BP47" s="130"/>
      <c r="BQ47" s="130"/>
      <c r="BR47" s="130"/>
      <c r="BS47" s="130"/>
      <c r="BT47" s="130"/>
      <c r="BU47" s="130"/>
    </row>
    <row r="48" spans="1:105" s="166" customFormat="1" x14ac:dyDescent="0.2">
      <c r="A48" s="128"/>
      <c r="B48" s="130"/>
      <c r="C48" s="165" t="s">
        <v>48</v>
      </c>
      <c r="D48" s="128"/>
      <c r="E48" s="128"/>
      <c r="F48" s="138">
        <f>180/PI()*IMARGUMENT(IMDIV(IMDIV(IMPRODUCT(ROUT_min,COMPLEX(1,F46*COUT*10^-6*ESR*10^-3),COMPLEX(1,F46*MLCC*10^-6*MLCC_ESR*10^-3)),IMSUM(-(ROUT_min*ESR*10^-3+ROUT_min*MLCC_ESR*10^-3+MLCC_ESR*ESR*10^-6)*COUT*MLCC*10^-12*F46^2,COMPLEX(1,F46*((ROUT_min+ESR*10^-3)*COUT*10^-6+(ROUT_min+MLCC_ESR*10^-3)*MLCC*10^-6)))),IMSUM(COMPLEX(DCR*10^-3,F46*LOUT*10^-6),IMDIV(IMPRODUCT(ROUT_min,COMPLEX(1,F46*COUT*10^-6*ESR*10^-3),COMPLEX(1,F46*MLCC*10^-6*MLCC_ESR*10^-3)),IMSUM(-(ROUT_min*ESR*10^-3+ROUT_min*MLCC_ESR*10^-3+MLCC_ESR*ESR*10^-6)*COUT*MLCC*10^-12*F46^2,COMPLEX(1,F46*((ROUT_min+ESR*10^-3)*COUT*10^-6+(ROUT_min+MLCC_ESR*10^-3)*MLCC*10^-6)))))))</f>
        <v>-159.3777228870897</v>
      </c>
      <c r="H48" s="128">
        <f>20*LOG(VIN/VRAMP*IMABS(IMDIV(H47,IMSUM(COMPLEX(DCR*10^-3,F46*LOUT*10^-6),H47))))</f>
        <v>-7.5072812815090177</v>
      </c>
      <c r="I48" s="128"/>
      <c r="Q48" s="128"/>
      <c r="R48" s="128"/>
      <c r="S48" s="128"/>
      <c r="T48" s="128"/>
      <c r="U48" s="128"/>
      <c r="V48" s="128"/>
      <c r="W48" s="128"/>
      <c r="X48" s="133">
        <v>390</v>
      </c>
      <c r="Y48" s="133">
        <v>402</v>
      </c>
      <c r="Z48" s="130"/>
      <c r="AA48" s="130"/>
      <c r="AB48" s="130"/>
      <c r="AC48" s="130"/>
      <c r="AD48" s="130"/>
      <c r="AE48" s="130"/>
      <c r="AF48" s="130"/>
      <c r="AG48" s="140"/>
      <c r="AH48" s="132"/>
      <c r="AI48" s="130"/>
      <c r="AJ48" s="130"/>
      <c r="AK48" s="130"/>
      <c r="AL48" s="130"/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/>
      <c r="AX48" s="130"/>
      <c r="AY48" s="130"/>
      <c r="AZ48" s="130"/>
      <c r="BA48" s="130"/>
      <c r="BB48" s="130"/>
      <c r="BC48" s="130"/>
      <c r="BD48" s="130"/>
      <c r="BE48" s="130"/>
      <c r="BF48" s="130"/>
      <c r="BG48" s="130"/>
      <c r="BH48" s="130"/>
      <c r="BI48" s="130"/>
      <c r="BJ48" s="130"/>
      <c r="BK48" s="130"/>
      <c r="BL48" s="130"/>
      <c r="BM48" s="130"/>
      <c r="BN48" s="130"/>
      <c r="BO48" s="130"/>
      <c r="BP48" s="130"/>
      <c r="BQ48" s="130"/>
      <c r="BR48" s="130"/>
      <c r="BS48" s="130"/>
      <c r="BT48" s="130"/>
    </row>
    <row r="49" spans="1:73" s="166" customFormat="1" x14ac:dyDescent="0.2">
      <c r="A49" s="130" t="s">
        <v>63</v>
      </c>
      <c r="B49" s="131">
        <f>IF(D16=0,10^-50,B16*D16)</f>
        <v>44</v>
      </c>
      <c r="C49" s="165" t="s">
        <v>67</v>
      </c>
      <c r="D49" s="128"/>
      <c r="E49" s="128"/>
      <c r="F49" s="137">
        <f>20*LOG(IMABS(I49))</f>
        <v>7.5068135420025319</v>
      </c>
      <c r="G49" s="166" t="str">
        <f>IMDIV(IMPRODUCT(IMDIV(1,COMPLEX(0,F46*C_3*10^-12)),IMSUM(R_3,IMDIV(1,COMPLEX(0,F46*C_2*10^-12)))),IMSUM(IMDIV(1,COMPLEX(0,F46*C_3*10^-12)),IMSUM(R_3,IMDIV(1,COMPLEX(0,F46*C_2*10^-12)))))</f>
        <v>55486.0181923284-26614.9459202144i</v>
      </c>
      <c r="H49" s="128" t="str">
        <f>IMDIV(IMPRODUCT(IMSUM(R_2,IMDIV(1,COMPLEX(0,F46*C_1*10^-12))),R_1),IMSUM(IMSUM(R_2,IMDIV(1,COMPLEX(0,F46*C_1*10^-12))),R_1))</f>
        <v>10989.7434538651-23101.3863871956i</v>
      </c>
      <c r="I49" s="166" t="str">
        <f>IMDIV(IMPRODUCT(-1,IMDIV(10^(DCGAIN/20),IMPRODUCT(COMPLEX(1,F46/(2*PI()*(GBWP*10^6/10^(DCGAIN/20)))),COMPLEX(1,F46/(2*PI()*EAP*10^6))))),IMSUM(1,IMDIV(H49,R_4),IMPRODUCT(IMDIV(H49,G49),IMSUM(1,IMDIV(10^(DCGAIN/20),IMPRODUCT(COMPLEX(1,F46/(2*PI()*(GBWP*10^6/10^(DCGAIN/20)))),COMPLEX(1,F46/(2*PI()*EAP*10^6))))))))</f>
        <v>-1.98875957028253-1.29502045775993i</v>
      </c>
      <c r="Q49" s="128"/>
      <c r="R49" s="128"/>
      <c r="S49" s="128"/>
      <c r="T49" s="128"/>
      <c r="U49" s="128"/>
      <c r="V49" s="128"/>
      <c r="W49" s="128"/>
      <c r="X49" s="133">
        <v>402</v>
      </c>
      <c r="Y49" s="133">
        <v>422</v>
      </c>
      <c r="Z49" s="130"/>
      <c r="AA49" s="130"/>
      <c r="AB49" s="130"/>
      <c r="AC49" s="130"/>
      <c r="AD49" s="130"/>
      <c r="AE49" s="130"/>
      <c r="AF49" s="130"/>
      <c r="AG49" s="152"/>
      <c r="AH49" s="132"/>
      <c r="AI49" s="130"/>
      <c r="AJ49" s="130"/>
      <c r="AK49" s="130"/>
      <c r="AL49" s="130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/>
      <c r="AX49" s="130"/>
      <c r="AY49" s="130"/>
      <c r="AZ49" s="130"/>
      <c r="BA49" s="130"/>
      <c r="BB49" s="130"/>
      <c r="BC49" s="130"/>
      <c r="BD49" s="130"/>
      <c r="BE49" s="130"/>
      <c r="BF49" s="130"/>
      <c r="BG49" s="130"/>
      <c r="BH49" s="130"/>
      <c r="BI49" s="130"/>
      <c r="BJ49" s="130"/>
      <c r="BK49" s="130"/>
      <c r="BL49" s="130"/>
      <c r="BM49" s="130"/>
      <c r="BN49" s="130"/>
      <c r="BO49" s="130"/>
      <c r="BP49" s="130"/>
      <c r="BQ49" s="130"/>
      <c r="BR49" s="130"/>
      <c r="BS49" s="130"/>
      <c r="BT49" s="130"/>
    </row>
    <row r="50" spans="1:73" s="166" customFormat="1" x14ac:dyDescent="0.2">
      <c r="A50" s="130" t="s">
        <v>64</v>
      </c>
      <c r="B50" s="131">
        <f>IF(D16=0,10^50,B17/D16)</f>
        <v>10</v>
      </c>
      <c r="C50" s="165" t="s">
        <v>66</v>
      </c>
      <c r="D50" s="128"/>
      <c r="E50" s="128"/>
      <c r="F50" s="167">
        <f>IF(180/PI()*IMARGUMENT(I49)&lt;0,180/PI()*IMARGUMENT(I49)+360,180/PI()*IMARGUMENT(I49))</f>
        <v>213.07096563297392</v>
      </c>
      <c r="G50" s="128"/>
      <c r="H50" s="128"/>
      <c r="I50" s="128"/>
      <c r="Q50" s="128"/>
      <c r="R50" s="128"/>
      <c r="S50" s="128"/>
      <c r="T50" s="128"/>
      <c r="U50" s="128"/>
      <c r="V50" s="128"/>
      <c r="W50" s="128"/>
      <c r="X50" s="133">
        <v>422</v>
      </c>
      <c r="Y50" s="133">
        <v>430</v>
      </c>
      <c r="Z50" s="130"/>
      <c r="AA50" s="130"/>
      <c r="AB50" s="130"/>
      <c r="AC50" s="130"/>
      <c r="AD50" s="130"/>
      <c r="AE50" s="130"/>
      <c r="AF50" s="130"/>
      <c r="AG50" s="152"/>
      <c r="AH50" s="132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</row>
    <row r="51" spans="1:73" s="166" customFormat="1" x14ac:dyDescent="0.2">
      <c r="A51" s="166" t="s">
        <v>148</v>
      </c>
      <c r="B51" s="166">
        <v>10</v>
      </c>
      <c r="C51" s="165" t="s">
        <v>29</v>
      </c>
      <c r="D51" s="128"/>
      <c r="E51" s="128"/>
      <c r="F51" s="167">
        <f>IF(20*(LOG(GBWP*10^6)-LOG(J19))&gt;DCGAIN,DCGAIN,20*(LOG(GBWP*10^6)-LOG(J19)))</f>
        <v>35.730473266620741</v>
      </c>
      <c r="G51" s="128"/>
      <c r="H51" s="128"/>
      <c r="I51" s="128"/>
      <c r="Q51" s="128"/>
      <c r="R51" s="128"/>
      <c r="S51" s="128"/>
      <c r="T51" s="128"/>
      <c r="U51" s="128"/>
      <c r="V51" s="128"/>
      <c r="W51" s="128"/>
      <c r="X51" s="133">
        <v>430</v>
      </c>
      <c r="Y51" s="133">
        <v>442</v>
      </c>
      <c r="Z51" s="130"/>
      <c r="AA51" s="130"/>
      <c r="AB51" s="130"/>
      <c r="AC51" s="130"/>
      <c r="AD51" s="130"/>
      <c r="AE51" s="130"/>
      <c r="AF51" s="130"/>
      <c r="AG51" s="152"/>
      <c r="AH51" s="132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</row>
    <row r="52" spans="1:73" s="166" customFormat="1" x14ac:dyDescent="0.2">
      <c r="A52" s="128"/>
      <c r="B52" s="128"/>
      <c r="C52" s="168" t="s">
        <v>79</v>
      </c>
      <c r="D52" s="128"/>
      <c r="E52" s="128"/>
      <c r="F52" s="169"/>
      <c r="G52" s="128"/>
      <c r="H52" s="128"/>
      <c r="I52" s="128"/>
      <c r="Q52" s="128"/>
      <c r="R52" s="128"/>
      <c r="S52" s="128"/>
      <c r="T52" s="128"/>
      <c r="U52" s="128"/>
      <c r="V52" s="128"/>
      <c r="W52" s="128"/>
      <c r="X52" s="133">
        <v>442</v>
      </c>
      <c r="Y52" s="133">
        <v>464</v>
      </c>
      <c r="Z52" s="130"/>
      <c r="AA52" s="130"/>
      <c r="AB52" s="130"/>
      <c r="AC52" s="130"/>
      <c r="AD52" s="130"/>
      <c r="AE52" s="130"/>
      <c r="AF52" s="140"/>
      <c r="AG52" s="140"/>
      <c r="AH52" s="132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</row>
    <row r="53" spans="1:73" s="166" customFormat="1" x14ac:dyDescent="0.2">
      <c r="A53" s="128"/>
      <c r="B53" s="128"/>
      <c r="C53" s="168" t="s">
        <v>78</v>
      </c>
      <c r="D53" s="128"/>
      <c r="E53" s="128"/>
      <c r="F53" s="169"/>
      <c r="G53" s="128"/>
      <c r="H53" s="128"/>
      <c r="I53" s="128"/>
      <c r="Q53" s="128"/>
      <c r="R53" s="128"/>
      <c r="S53" s="128"/>
      <c r="T53" s="128"/>
      <c r="U53" s="128"/>
      <c r="V53" s="128"/>
      <c r="W53" s="128"/>
      <c r="X53" s="133">
        <v>464</v>
      </c>
      <c r="Y53" s="133">
        <v>470</v>
      </c>
      <c r="Z53" s="130"/>
      <c r="AA53" s="130"/>
      <c r="AB53" s="130"/>
      <c r="AC53" s="130"/>
      <c r="AD53" s="130"/>
      <c r="AE53" s="130"/>
      <c r="AF53" s="140"/>
      <c r="AG53" s="140"/>
      <c r="AH53" s="132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  <c r="BC53" s="130"/>
      <c r="BD53" s="130"/>
      <c r="BE53" s="130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</row>
    <row r="54" spans="1:73" s="166" customFormat="1" x14ac:dyDescent="0.2">
      <c r="A54" s="128"/>
      <c r="B54" s="128"/>
      <c r="C54" s="165" t="s">
        <v>7</v>
      </c>
      <c r="D54" s="128"/>
      <c r="E54" s="128"/>
      <c r="F54" s="138">
        <f>B5/B6</f>
        <v>1.37825</v>
      </c>
      <c r="G54" s="130" t="s">
        <v>22</v>
      </c>
      <c r="H54" s="128"/>
      <c r="I54" s="128"/>
      <c r="Q54" s="128"/>
      <c r="R54" s="128"/>
      <c r="S54" s="128"/>
      <c r="T54" s="128"/>
      <c r="U54" s="128"/>
      <c r="V54" s="128"/>
      <c r="W54" s="128"/>
      <c r="X54" s="133">
        <v>470</v>
      </c>
      <c r="Y54" s="133">
        <v>487</v>
      </c>
      <c r="Z54" s="130"/>
      <c r="AA54" s="130"/>
      <c r="AB54" s="130"/>
      <c r="AC54" s="130"/>
      <c r="AD54" s="130"/>
      <c r="AE54" s="130"/>
      <c r="AF54" s="140"/>
      <c r="AG54" s="140"/>
      <c r="AH54" s="132"/>
      <c r="AI54" s="130"/>
      <c r="AJ54" s="130"/>
      <c r="AK54" s="130"/>
      <c r="AL54" s="130"/>
      <c r="AM54" s="130"/>
      <c r="AN54" s="130"/>
      <c r="AO54" s="130"/>
      <c r="AP54" s="130"/>
      <c r="AQ54" s="130"/>
      <c r="AR54" s="130"/>
      <c r="AS54" s="130"/>
      <c r="AT54" s="130"/>
      <c r="AU54" s="130"/>
      <c r="AV54" s="130"/>
      <c r="AW54" s="130"/>
      <c r="AX54" s="130"/>
      <c r="AY54" s="130"/>
      <c r="AZ54" s="130"/>
      <c r="BA54" s="130"/>
      <c r="BB54" s="130"/>
      <c r="BC54" s="130"/>
      <c r="BD54" s="130"/>
      <c r="BE54" s="130"/>
      <c r="BF54" s="130"/>
      <c r="BG54" s="130"/>
      <c r="BH54" s="130"/>
      <c r="BI54" s="130"/>
      <c r="BJ54" s="130"/>
      <c r="BK54" s="130"/>
      <c r="BL54" s="130"/>
      <c r="BM54" s="130"/>
      <c r="BN54" s="130"/>
      <c r="BO54" s="130"/>
      <c r="BP54" s="130"/>
      <c r="BQ54" s="130"/>
      <c r="BR54" s="130"/>
      <c r="BS54" s="130"/>
      <c r="BT54" s="130"/>
    </row>
    <row r="55" spans="1:73" s="166" customFormat="1" x14ac:dyDescent="0.2">
      <c r="A55" s="128"/>
      <c r="B55" s="128"/>
      <c r="C55" s="130" t="s">
        <v>45</v>
      </c>
      <c r="D55" s="128"/>
      <c r="E55" s="128"/>
      <c r="F55" s="165">
        <f>2*PI()*Fco*1000</f>
        <v>314159.26535897935</v>
      </c>
      <c r="G55" s="128"/>
      <c r="H55" s="128"/>
      <c r="I55" s="128"/>
      <c r="Q55" s="128"/>
      <c r="R55" s="128"/>
      <c r="S55" s="128"/>
      <c r="T55" s="128"/>
      <c r="U55" s="128"/>
      <c r="V55" s="128"/>
      <c r="W55" s="128"/>
      <c r="X55" s="133">
        <v>487</v>
      </c>
      <c r="Y55" s="133">
        <v>510</v>
      </c>
      <c r="Z55" s="130"/>
      <c r="AA55" s="130"/>
      <c r="AB55" s="130"/>
      <c r="AC55" s="130"/>
      <c r="AD55" s="130"/>
      <c r="AE55" s="130"/>
      <c r="AF55" s="140"/>
      <c r="AG55" s="140"/>
      <c r="AH55" s="132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0"/>
      <c r="AX55" s="130"/>
      <c r="AY55" s="130"/>
      <c r="AZ55" s="130"/>
      <c r="BA55" s="130"/>
      <c r="BB55" s="130"/>
      <c r="BC55" s="130"/>
      <c r="BD55" s="130"/>
      <c r="BE55" s="130"/>
      <c r="BF55" s="130"/>
      <c r="BG55" s="130"/>
      <c r="BH55" s="130"/>
      <c r="BI55" s="130"/>
      <c r="BJ55" s="130"/>
      <c r="BK55" s="130"/>
      <c r="BL55" s="130"/>
      <c r="BM55" s="130"/>
      <c r="BN55" s="130"/>
      <c r="BO55" s="130"/>
      <c r="BP55" s="130"/>
      <c r="BQ55" s="130"/>
      <c r="BR55" s="130"/>
      <c r="BS55" s="130"/>
      <c r="BT55" s="130"/>
    </row>
    <row r="56" spans="1:73" s="166" customFormat="1" x14ac:dyDescent="0.2">
      <c r="A56" s="128"/>
      <c r="B56" s="128"/>
      <c r="C56" s="130" t="s">
        <v>47</v>
      </c>
      <c r="D56" s="128"/>
      <c r="E56" s="128"/>
      <c r="F56" s="170">
        <f>(IMABS(F61)*$F$62)</f>
        <v>0.40486769796691635</v>
      </c>
      <c r="G56" s="128"/>
      <c r="H56" s="128"/>
      <c r="I56" s="128"/>
      <c r="Q56" s="128"/>
      <c r="R56" s="128"/>
      <c r="S56" s="128"/>
      <c r="T56" s="128"/>
      <c r="U56" s="128"/>
      <c r="V56" s="128"/>
      <c r="W56" s="128"/>
      <c r="X56" s="133">
        <v>510</v>
      </c>
      <c r="Y56" s="133">
        <v>511</v>
      </c>
      <c r="Z56" s="130"/>
      <c r="AA56" s="130"/>
      <c r="AB56" s="130"/>
      <c r="AC56" s="130"/>
      <c r="AD56" s="130"/>
      <c r="AE56" s="130"/>
      <c r="AF56" s="140"/>
      <c r="AG56" s="140"/>
      <c r="AH56" s="132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</row>
    <row r="57" spans="1:73" s="166" customFormat="1" x14ac:dyDescent="0.2">
      <c r="A57" s="128"/>
      <c r="B57" s="128"/>
      <c r="C57" s="130" t="s">
        <v>48</v>
      </c>
      <c r="D57" s="128"/>
      <c r="E57" s="128"/>
      <c r="F57" s="170">
        <f>180/PI()*IMARGUMENT(F61)</f>
        <v>-159.50118538845061</v>
      </c>
      <c r="G57" s="128"/>
      <c r="H57" s="128"/>
      <c r="I57" s="128"/>
      <c r="Q57" s="128"/>
      <c r="R57" s="128"/>
      <c r="S57" s="128"/>
      <c r="T57" s="128"/>
      <c r="U57" s="128"/>
      <c r="V57" s="128"/>
      <c r="W57" s="128"/>
      <c r="X57" s="133">
        <v>511</v>
      </c>
      <c r="Y57" s="133">
        <v>536</v>
      </c>
      <c r="Z57" s="130"/>
      <c r="AA57" s="130"/>
      <c r="AB57" s="130"/>
      <c r="AC57" s="130"/>
      <c r="AD57" s="130"/>
      <c r="AE57" s="130"/>
      <c r="AF57" s="140"/>
      <c r="AG57" s="140"/>
      <c r="AH57" s="132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</row>
    <row r="58" spans="1:73" s="166" customFormat="1" x14ac:dyDescent="0.2">
      <c r="A58" s="128"/>
      <c r="B58" s="128"/>
      <c r="C58" s="130" t="s">
        <v>46</v>
      </c>
      <c r="D58" s="128"/>
      <c r="E58" s="128"/>
      <c r="F58" s="164">
        <f>1/F56</f>
        <v>2.4699426628046646</v>
      </c>
      <c r="G58" s="128"/>
      <c r="H58" s="128"/>
      <c r="I58" s="128"/>
      <c r="Q58" s="128"/>
      <c r="R58" s="128"/>
      <c r="S58" s="128"/>
      <c r="T58" s="128"/>
      <c r="U58" s="128"/>
      <c r="V58" s="128"/>
      <c r="W58" s="128"/>
      <c r="X58" s="133">
        <v>536</v>
      </c>
      <c r="Y58" s="133">
        <v>560</v>
      </c>
      <c r="Z58" s="130"/>
      <c r="AA58" s="130"/>
      <c r="AB58" s="130"/>
      <c r="AC58" s="130"/>
      <c r="AD58" s="130"/>
      <c r="AE58" s="130"/>
      <c r="AF58" s="140"/>
      <c r="AG58" s="140"/>
      <c r="AH58" s="132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  <c r="BA58" s="130"/>
      <c r="BB58" s="130"/>
      <c r="BC58" s="130"/>
      <c r="BD58" s="130"/>
      <c r="BE58" s="130"/>
      <c r="BF58" s="130"/>
      <c r="BG58" s="130"/>
      <c r="BH58" s="130"/>
      <c r="BI58" s="130"/>
      <c r="BJ58" s="130"/>
      <c r="BK58" s="130"/>
      <c r="BL58" s="130"/>
      <c r="BM58" s="130"/>
      <c r="BN58" s="130"/>
      <c r="BO58" s="130"/>
      <c r="BP58" s="130"/>
      <c r="BQ58" s="130"/>
      <c r="BR58" s="130"/>
      <c r="BS58" s="130"/>
      <c r="BT58" s="130"/>
    </row>
    <row r="59" spans="1:73" s="166" customFormat="1" x14ac:dyDescent="0.2">
      <c r="A59" s="128"/>
      <c r="B59" s="128"/>
      <c r="C59" s="162" t="s">
        <v>131</v>
      </c>
      <c r="D59" s="128"/>
      <c r="E59" s="128"/>
      <c r="F59" s="132" t="str">
        <f>IMDIV(IMPRODUCT(IMDIV(IMPRODUCT(IMSUM(IMDIV(1,COMPLEX(0,wCO*COUT*10^-6)),ESR*10^-3),IMSUM(IMDIV(1,COMPLEX(0,wCO*MLCC*10^-6)),MLCC_ESR*10^-3)),IMSUM(IMSUM(IMDIV(1,COMPLEX(0,wCO*COUT*10^-6)),ESR*10^-3),IMSUM(IMDIV(1,COMPLEX(0,wCO*MLCC*10^-6)),MLCC_ESR*10^-3))),VOUT/IOUT_max),IMSUM(IMDIV(IMPRODUCT(IMSUM(IMDIV(1,COMPLEX(0,wCO*COUT*10^-6)),ESR*10^-3),IMSUM(IMDIV(1,COMPLEX(0,wCO*MLCC*10^-6)),MLCC_ESR*10^-3)),IMSUM(IMSUM(IMDIV(1,COMPLEX(0,wCO*COUT*10^-6)),ESR*10^-3),IMSUM(IMDIV(1,COMPLEX(0,wCO*MLCC*10^-6)),MLCC_ESR*10^-3))),VOUT/IOUT_max))</f>
        <v>0.0222488720266824-0.0659010303470088i</v>
      </c>
      <c r="G59" s="128"/>
      <c r="H59" s="128"/>
      <c r="I59" s="128"/>
      <c r="Q59" s="128"/>
      <c r="R59" s="128"/>
      <c r="S59" s="128"/>
      <c r="T59" s="128"/>
      <c r="U59" s="128"/>
      <c r="V59" s="128"/>
      <c r="W59" s="128"/>
      <c r="X59" s="133">
        <v>560</v>
      </c>
      <c r="Y59" s="133">
        <v>562</v>
      </c>
      <c r="Z59" s="130"/>
      <c r="AA59" s="130"/>
      <c r="AB59" s="130"/>
      <c r="AC59" s="130"/>
      <c r="AD59" s="130"/>
      <c r="AE59" s="130"/>
      <c r="AF59" s="140"/>
      <c r="AG59" s="140"/>
      <c r="AH59" s="132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30"/>
      <c r="BA59" s="130"/>
      <c r="BB59" s="130"/>
      <c r="BC59" s="130"/>
      <c r="BD59" s="130"/>
      <c r="BE59" s="130"/>
      <c r="BF59" s="130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  <c r="BR59" s="130"/>
      <c r="BS59" s="130"/>
      <c r="BT59" s="130"/>
      <c r="BU59" s="130"/>
    </row>
    <row r="60" spans="1:73" s="166" customFormat="1" x14ac:dyDescent="0.2">
      <c r="A60" s="128"/>
      <c r="B60" s="128"/>
      <c r="C60" s="162" t="s">
        <v>132</v>
      </c>
      <c r="D60" s="128"/>
      <c r="E60" s="128"/>
      <c r="F60" s="132" t="str">
        <f>COMPLEX(DCR*10^-3,wCO*LOUT*10^-6)</f>
        <v>0.009+1.03672557568463i</v>
      </c>
      <c r="G60" s="128"/>
      <c r="H60" s="128"/>
      <c r="I60" s="128"/>
      <c r="Q60" s="128"/>
      <c r="R60" s="128"/>
      <c r="S60" s="128"/>
      <c r="T60" s="128"/>
      <c r="U60" s="128"/>
      <c r="V60" s="128"/>
      <c r="W60" s="128"/>
      <c r="X60" s="133">
        <v>562</v>
      </c>
      <c r="Y60" s="133">
        <v>590</v>
      </c>
      <c r="Z60" s="130"/>
      <c r="AA60" s="130"/>
      <c r="AB60" s="130"/>
      <c r="AC60" s="130"/>
      <c r="AD60" s="130"/>
      <c r="AE60" s="130"/>
      <c r="AF60" s="140"/>
      <c r="AG60" s="140"/>
      <c r="AH60" s="132"/>
      <c r="AI60" s="130"/>
      <c r="AJ60" s="130"/>
      <c r="AK60" s="130"/>
      <c r="AL60" s="130"/>
      <c r="AM60" s="130"/>
      <c r="AN60" s="130"/>
      <c r="AO60" s="130"/>
      <c r="AP60" s="130"/>
      <c r="AQ60" s="130"/>
      <c r="AR60" s="130"/>
      <c r="AS60" s="130"/>
      <c r="AT60" s="130"/>
      <c r="AU60" s="130"/>
      <c r="AV60" s="130"/>
      <c r="AW60" s="130"/>
      <c r="AX60" s="130"/>
      <c r="AY60" s="130"/>
      <c r="AZ60" s="130"/>
      <c r="BA60" s="130"/>
      <c r="BB60" s="130"/>
      <c r="BC60" s="130"/>
      <c r="BD60" s="130"/>
      <c r="BE60" s="130"/>
      <c r="BF60" s="130"/>
      <c r="BG60" s="130"/>
      <c r="BH60" s="130"/>
      <c r="BI60" s="130"/>
      <c r="BJ60" s="130"/>
      <c r="BK60" s="130"/>
      <c r="BL60" s="130"/>
      <c r="BM60" s="130"/>
      <c r="BN60" s="130"/>
      <c r="BO60" s="130"/>
      <c r="BP60" s="130"/>
      <c r="BQ60" s="130"/>
      <c r="BR60" s="130"/>
      <c r="BS60" s="130"/>
      <c r="BT60" s="130"/>
      <c r="BU60" s="130"/>
    </row>
    <row r="61" spans="1:73" s="166" customFormat="1" x14ac:dyDescent="0.2">
      <c r="A61" s="128"/>
      <c r="B61" s="128"/>
      <c r="C61" s="162" t="s">
        <v>133</v>
      </c>
      <c r="D61" s="128"/>
      <c r="E61" s="162"/>
      <c r="F61" s="132" t="str">
        <f>IMDIV(F59,IMSUM(F60,F59))</f>
        <v>-0.0670743428467607-0.0250764875069246i</v>
      </c>
      <c r="G61" s="128"/>
      <c r="H61" s="128"/>
      <c r="I61" s="128"/>
      <c r="Q61" s="128"/>
      <c r="R61" s="128"/>
      <c r="S61" s="128"/>
      <c r="T61" s="128"/>
      <c r="U61" s="128"/>
      <c r="V61" s="128"/>
      <c r="W61" s="128"/>
      <c r="X61" s="133">
        <v>590</v>
      </c>
      <c r="Y61" s="133">
        <v>619</v>
      </c>
      <c r="Z61" s="130"/>
      <c r="AA61" s="130"/>
      <c r="AB61" s="130"/>
      <c r="AC61" s="130"/>
      <c r="AD61" s="130"/>
      <c r="AE61" s="130"/>
      <c r="AF61" s="140"/>
      <c r="AG61" s="140"/>
      <c r="AH61" s="132"/>
      <c r="AI61" s="130"/>
      <c r="AJ61" s="130"/>
      <c r="AK61" s="130"/>
      <c r="AL61" s="130"/>
      <c r="AM61" s="130"/>
      <c r="AN61" s="130"/>
      <c r="AO61" s="130"/>
      <c r="AP61" s="130"/>
      <c r="AQ61" s="130"/>
      <c r="AR61" s="130"/>
      <c r="AS61" s="130"/>
      <c r="AT61" s="130"/>
      <c r="AU61" s="130"/>
      <c r="AV61" s="130"/>
      <c r="AW61" s="130"/>
      <c r="AX61" s="130"/>
      <c r="AY61" s="130"/>
      <c r="AZ61" s="130"/>
      <c r="BA61" s="130"/>
      <c r="BB61" s="130"/>
      <c r="BC61" s="130"/>
      <c r="BD61" s="130"/>
      <c r="BE61" s="130"/>
      <c r="BF61" s="130"/>
      <c r="BG61" s="130"/>
      <c r="BH61" s="130"/>
      <c r="BI61" s="130"/>
      <c r="BJ61" s="130"/>
      <c r="BK61" s="130"/>
      <c r="BL61" s="130"/>
      <c r="BM61" s="130"/>
      <c r="BN61" s="130"/>
      <c r="BO61" s="130"/>
      <c r="BP61" s="130"/>
      <c r="BQ61" s="130"/>
      <c r="BR61" s="130"/>
      <c r="BS61" s="130"/>
      <c r="BT61" s="130"/>
      <c r="BU61" s="130"/>
    </row>
    <row r="62" spans="1:73" s="166" customFormat="1" x14ac:dyDescent="0.2">
      <c r="A62" s="128"/>
      <c r="B62" s="128"/>
      <c r="C62" s="131" t="s">
        <v>41</v>
      </c>
      <c r="D62" s="128"/>
      <c r="E62" s="128"/>
      <c r="F62" s="165">
        <f>VIN/VRAMP</f>
        <v>5.653894324853229</v>
      </c>
      <c r="G62" s="128"/>
      <c r="H62" s="128"/>
      <c r="I62" s="128"/>
      <c r="Q62" s="128"/>
      <c r="R62" s="128"/>
      <c r="S62" s="128"/>
      <c r="T62" s="128"/>
      <c r="U62" s="128"/>
      <c r="V62" s="128"/>
      <c r="W62" s="128"/>
      <c r="X62" s="133">
        <v>619</v>
      </c>
      <c r="Y62" s="133">
        <v>620</v>
      </c>
      <c r="Z62" s="130"/>
      <c r="AA62" s="130"/>
      <c r="AB62" s="130"/>
      <c r="AC62" s="130"/>
      <c r="AD62" s="130"/>
      <c r="AE62" s="130"/>
      <c r="AF62" s="140"/>
      <c r="AG62" s="140"/>
      <c r="AH62" s="132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</row>
    <row r="63" spans="1:73" s="166" customFormat="1" x14ac:dyDescent="0.2">
      <c r="A63" s="128"/>
      <c r="B63" s="128"/>
      <c r="C63" s="128"/>
      <c r="D63" s="128"/>
      <c r="E63" s="128"/>
      <c r="F63" s="128"/>
      <c r="G63" s="128"/>
      <c r="H63" s="128"/>
      <c r="I63" s="128"/>
      <c r="Q63" s="128"/>
      <c r="R63" s="128"/>
      <c r="S63" s="128"/>
      <c r="T63" s="128"/>
      <c r="U63" s="128"/>
      <c r="V63" s="128"/>
      <c r="W63" s="128"/>
      <c r="X63" s="133">
        <v>620</v>
      </c>
      <c r="Y63" s="133">
        <v>649</v>
      </c>
      <c r="Z63" s="130"/>
      <c r="AA63" s="130"/>
      <c r="AB63" s="130"/>
      <c r="AC63" s="130"/>
      <c r="AD63" s="130"/>
      <c r="AE63" s="130"/>
      <c r="AF63" s="140"/>
      <c r="AG63" s="140"/>
      <c r="AH63" s="132"/>
      <c r="AI63" s="130"/>
      <c r="AJ63" s="130"/>
      <c r="AK63" s="130"/>
      <c r="AL63" s="130"/>
      <c r="AM63" s="130"/>
      <c r="AN63" s="130"/>
      <c r="AO63" s="130"/>
      <c r="AP63" s="130"/>
      <c r="AQ63" s="130"/>
      <c r="AR63" s="130"/>
      <c r="AS63" s="130"/>
      <c r="AT63" s="130"/>
      <c r="AU63" s="130"/>
      <c r="AV63" s="130"/>
      <c r="AW63" s="130"/>
      <c r="AX63" s="130"/>
      <c r="AY63" s="130"/>
      <c r="AZ63" s="130"/>
      <c r="BA63" s="130"/>
      <c r="BB63" s="130"/>
      <c r="BC63" s="130"/>
      <c r="BD63" s="130"/>
      <c r="BE63" s="130"/>
      <c r="BF63" s="130"/>
      <c r="BG63" s="130"/>
      <c r="BH63" s="130"/>
      <c r="BI63" s="130"/>
      <c r="BJ63" s="130"/>
      <c r="BK63" s="130"/>
      <c r="BL63" s="130"/>
      <c r="BM63" s="130"/>
      <c r="BN63" s="130"/>
      <c r="BO63" s="130"/>
      <c r="BP63" s="130"/>
      <c r="BQ63" s="130"/>
      <c r="BR63" s="130"/>
      <c r="BS63" s="130"/>
      <c r="BT63" s="130"/>
      <c r="BU63" s="130"/>
    </row>
    <row r="64" spans="1:73" s="166" customFormat="1" x14ac:dyDescent="0.2">
      <c r="A64" s="153"/>
      <c r="B64" s="153"/>
      <c r="C64" s="153"/>
      <c r="D64" s="153"/>
      <c r="E64" s="128"/>
      <c r="F64" s="128"/>
      <c r="G64" s="128"/>
      <c r="H64" s="128"/>
      <c r="I64" s="128"/>
      <c r="Q64" s="128"/>
      <c r="R64" s="128"/>
      <c r="S64" s="128"/>
      <c r="T64" s="128"/>
      <c r="U64" s="128"/>
      <c r="V64" s="128"/>
      <c r="W64" s="128"/>
      <c r="X64" s="133">
        <v>649</v>
      </c>
      <c r="Y64" s="133">
        <v>680</v>
      </c>
      <c r="Z64" s="130"/>
      <c r="AA64" s="130"/>
      <c r="AB64" s="130"/>
      <c r="AC64" s="130"/>
      <c r="AD64" s="130"/>
      <c r="AE64" s="130"/>
      <c r="AF64" s="130"/>
      <c r="AG64" s="130"/>
      <c r="AH64" s="132"/>
      <c r="AI64" s="130"/>
      <c r="AJ64" s="130"/>
      <c r="AK64" s="130"/>
      <c r="AL64" s="130"/>
      <c r="AM64" s="130"/>
      <c r="AN64" s="130"/>
      <c r="AO64" s="130"/>
      <c r="AP64" s="130"/>
      <c r="AQ64" s="130"/>
      <c r="AR64" s="130"/>
      <c r="AS64" s="130"/>
      <c r="AT64" s="130"/>
      <c r="AU64" s="130"/>
      <c r="AV64" s="130"/>
      <c r="AW64" s="130"/>
      <c r="AX64" s="130"/>
      <c r="AY64" s="130"/>
      <c r="AZ64" s="130"/>
      <c r="BA64" s="130"/>
      <c r="BB64" s="130"/>
      <c r="BC64" s="130"/>
      <c r="BD64" s="130"/>
      <c r="BE64" s="130"/>
      <c r="BF64" s="130"/>
      <c r="BG64" s="130"/>
      <c r="BH64" s="130"/>
      <c r="BI64" s="130"/>
      <c r="BJ64" s="130"/>
      <c r="BK64" s="130"/>
      <c r="BL64" s="130"/>
      <c r="BM64" s="130"/>
      <c r="BN64" s="130"/>
      <c r="BO64" s="130"/>
      <c r="BP64" s="130"/>
      <c r="BQ64" s="130"/>
      <c r="BR64" s="130"/>
      <c r="BS64" s="130"/>
      <c r="BT64" s="130"/>
      <c r="BU64" s="130"/>
    </row>
    <row r="65" spans="1:248" s="166" customFormat="1" x14ac:dyDescent="0.2">
      <c r="A65" s="153"/>
      <c r="B65" s="171" t="s">
        <v>106</v>
      </c>
      <c r="C65" s="172" t="s">
        <v>79</v>
      </c>
      <c r="D65" s="135"/>
      <c r="E65" s="128"/>
      <c r="F65" s="128"/>
      <c r="G65" s="128"/>
      <c r="H65" s="128"/>
      <c r="I65" s="128"/>
      <c r="Q65" s="128"/>
      <c r="R65" s="128"/>
      <c r="S65" s="128"/>
      <c r="T65" s="128"/>
      <c r="U65" s="128"/>
      <c r="V65" s="128"/>
      <c r="W65" s="128"/>
      <c r="X65" s="133">
        <v>680</v>
      </c>
      <c r="Y65" s="133">
        <v>681</v>
      </c>
      <c r="Z65" s="130"/>
      <c r="AA65" s="130"/>
      <c r="AB65" s="130"/>
      <c r="AC65" s="130"/>
      <c r="AD65" s="130"/>
      <c r="AE65" s="130"/>
      <c r="AF65" s="130"/>
      <c r="AG65" s="130"/>
      <c r="AH65" s="132"/>
      <c r="AI65" s="130"/>
      <c r="AJ65" s="130"/>
      <c r="AK65" s="130"/>
      <c r="AL65" s="130"/>
      <c r="AM65" s="130"/>
      <c r="AN65" s="130"/>
      <c r="AO65" s="130"/>
      <c r="AP65" s="130"/>
      <c r="AQ65" s="130"/>
      <c r="AR65" s="130"/>
      <c r="AS65" s="130"/>
      <c r="AT65" s="130"/>
      <c r="AU65" s="130"/>
      <c r="AV65" s="130"/>
      <c r="AW65" s="130"/>
      <c r="AX65" s="130"/>
      <c r="AY65" s="130"/>
      <c r="AZ65" s="130"/>
      <c r="BA65" s="130"/>
      <c r="BB65" s="130"/>
      <c r="BC65" s="130"/>
      <c r="BD65" s="130"/>
      <c r="BE65" s="130"/>
      <c r="BF65" s="130"/>
      <c r="BG65" s="130"/>
      <c r="BH65" s="130"/>
      <c r="BI65" s="130"/>
      <c r="BJ65" s="130"/>
      <c r="BK65" s="130"/>
      <c r="BL65" s="130"/>
      <c r="BM65" s="130"/>
      <c r="BN65" s="130"/>
      <c r="BO65" s="130"/>
      <c r="BP65" s="130"/>
      <c r="BQ65" s="130"/>
      <c r="BR65" s="130"/>
      <c r="BS65" s="130"/>
      <c r="BT65" s="130"/>
      <c r="BU65" s="130"/>
    </row>
    <row r="66" spans="1:248" s="166" customFormat="1" x14ac:dyDescent="0.2">
      <c r="A66" s="135" t="s">
        <v>1</v>
      </c>
      <c r="B66" s="173">
        <f>IF(C65="NO",VLOOKUP(IC,R5:V33,2),C66)</f>
        <v>4.2448617927826273</v>
      </c>
      <c r="C66" s="174">
        <v>1.5</v>
      </c>
      <c r="D66" s="135" t="s">
        <v>3</v>
      </c>
      <c r="E66" s="128"/>
      <c r="F66" s="128"/>
      <c r="G66" s="128"/>
      <c r="H66" s="128"/>
      <c r="I66" s="128"/>
      <c r="Q66" s="128"/>
      <c r="R66" s="128"/>
      <c r="S66" s="128"/>
      <c r="T66" s="128"/>
      <c r="U66" s="128"/>
      <c r="V66" s="128"/>
      <c r="W66" s="128"/>
      <c r="X66" s="133">
        <v>681</v>
      </c>
      <c r="Y66" s="133">
        <v>715</v>
      </c>
      <c r="Z66" s="130"/>
      <c r="AA66" s="130"/>
      <c r="AB66" s="130"/>
      <c r="AC66" s="130"/>
      <c r="AD66" s="130"/>
      <c r="AE66" s="130"/>
      <c r="AF66" s="130"/>
      <c r="AG66" s="130"/>
      <c r="AH66" s="132"/>
      <c r="AI66" s="130"/>
      <c r="AJ66" s="130"/>
      <c r="AK66" s="130"/>
      <c r="AL66" s="130"/>
      <c r="AM66" s="130"/>
      <c r="AN66" s="130"/>
      <c r="AO66" s="130"/>
      <c r="AP66" s="130"/>
      <c r="AQ66" s="130"/>
      <c r="AR66" s="130"/>
      <c r="AS66" s="130"/>
      <c r="AT66" s="130"/>
      <c r="AU66" s="130"/>
      <c r="AV66" s="130"/>
      <c r="AW66" s="130"/>
      <c r="AX66" s="130"/>
      <c r="AY66" s="130"/>
      <c r="AZ66" s="130"/>
      <c r="BA66" s="130"/>
      <c r="BB66" s="130"/>
      <c r="BC66" s="130"/>
      <c r="BD66" s="130"/>
      <c r="BE66" s="130"/>
      <c r="BF66" s="130"/>
      <c r="BG66" s="130"/>
      <c r="BH66" s="130"/>
      <c r="BI66" s="130"/>
      <c r="BJ66" s="130"/>
      <c r="BK66" s="130"/>
      <c r="BL66" s="130"/>
      <c r="BM66" s="130"/>
      <c r="BN66" s="130"/>
      <c r="BO66" s="130"/>
      <c r="BP66" s="130"/>
      <c r="BQ66" s="130"/>
      <c r="BR66" s="130"/>
      <c r="BS66" s="130"/>
      <c r="BT66" s="130"/>
      <c r="BU66" s="130"/>
    </row>
    <row r="67" spans="1:248" s="166" customFormat="1" x14ac:dyDescent="0.2">
      <c r="A67" s="135" t="s">
        <v>21</v>
      </c>
      <c r="B67" s="175">
        <f>IF(C65="NO",VLOOKUP(IC,R5:V33,3),C67)</f>
        <v>0.7</v>
      </c>
      <c r="C67" s="176">
        <v>0.7</v>
      </c>
      <c r="D67" s="135" t="s">
        <v>3</v>
      </c>
      <c r="E67" s="128"/>
      <c r="Q67" s="128"/>
      <c r="R67" s="128"/>
      <c r="S67" s="128"/>
      <c r="T67" s="128"/>
      <c r="U67" s="128"/>
      <c r="V67" s="128"/>
      <c r="W67" s="128"/>
      <c r="X67" s="133">
        <v>715</v>
      </c>
      <c r="Y67" s="133">
        <v>750</v>
      </c>
      <c r="Z67" s="130"/>
      <c r="AA67" s="130"/>
      <c r="AB67" s="130"/>
      <c r="AC67" s="130"/>
      <c r="AD67" s="130"/>
      <c r="AE67" s="130"/>
      <c r="AF67" s="130"/>
      <c r="AG67" s="130"/>
      <c r="AH67" s="132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</row>
    <row r="68" spans="1:248" s="166" customFormat="1" x14ac:dyDescent="0.2">
      <c r="A68" s="135" t="s">
        <v>27</v>
      </c>
      <c r="B68" s="177">
        <f>IF(C65="NO",VLOOKUP(IC,R5:V33,4),C68)</f>
        <v>3</v>
      </c>
      <c r="C68" s="176">
        <v>5</v>
      </c>
      <c r="D68" s="135" t="s">
        <v>28</v>
      </c>
      <c r="E68" s="128"/>
      <c r="Q68" s="128"/>
      <c r="R68" s="128"/>
      <c r="S68" s="128"/>
      <c r="T68" s="128"/>
      <c r="U68" s="128"/>
      <c r="V68" s="128"/>
      <c r="W68" s="128"/>
      <c r="X68" s="133">
        <v>750</v>
      </c>
      <c r="Y68" s="133">
        <v>787</v>
      </c>
      <c r="Z68" s="130"/>
      <c r="AA68" s="130"/>
      <c r="AB68" s="130"/>
      <c r="AC68" s="130"/>
      <c r="AD68" s="130"/>
      <c r="AE68" s="130"/>
      <c r="AF68" s="130"/>
      <c r="AG68" s="130"/>
      <c r="AH68" s="132"/>
      <c r="AI68" s="130"/>
      <c r="AJ68" s="130"/>
      <c r="AK68" s="130"/>
      <c r="AL68" s="130"/>
      <c r="AM68" s="130"/>
      <c r="AN68" s="130"/>
      <c r="AO68" s="130"/>
      <c r="AP68" s="130"/>
      <c r="AQ68" s="130"/>
      <c r="AR68" s="130"/>
      <c r="AS68" s="130"/>
      <c r="AT68" s="130"/>
      <c r="AU68" s="130"/>
      <c r="AV68" s="130"/>
      <c r="AW68" s="130"/>
      <c r="AX68" s="130"/>
      <c r="AY68" s="130"/>
      <c r="AZ68" s="130"/>
      <c r="BA68" s="130"/>
      <c r="BB68" s="130"/>
      <c r="BC68" s="130"/>
      <c r="BD68" s="130"/>
      <c r="BE68" s="130"/>
      <c r="BF68" s="130"/>
      <c r="BG68" s="130"/>
      <c r="BH68" s="130"/>
      <c r="BI68" s="130"/>
      <c r="BJ68" s="130"/>
      <c r="BK68" s="130"/>
      <c r="BL68" s="130"/>
      <c r="BM68" s="130"/>
      <c r="BN68" s="130"/>
      <c r="BO68" s="130"/>
      <c r="BP68" s="130"/>
      <c r="BQ68" s="130"/>
      <c r="BR68" s="130"/>
      <c r="BS68" s="130"/>
      <c r="BT68" s="130"/>
      <c r="BU68" s="130"/>
    </row>
    <row r="69" spans="1:248" s="166" customFormat="1" x14ac:dyDescent="0.2">
      <c r="A69" s="135" t="s">
        <v>30</v>
      </c>
      <c r="B69" s="178">
        <f>IF(C65="NO",VLOOKUP(IC,R5:V33,5),C69)</f>
        <v>60</v>
      </c>
      <c r="C69" s="176">
        <v>50</v>
      </c>
      <c r="D69" s="135" t="s">
        <v>31</v>
      </c>
      <c r="E69" s="128"/>
      <c r="Q69" s="128"/>
      <c r="R69" s="128"/>
      <c r="S69" s="128"/>
      <c r="T69" s="128"/>
      <c r="U69" s="128"/>
      <c r="V69" s="128"/>
      <c r="W69" s="128"/>
      <c r="X69" s="133">
        <v>787</v>
      </c>
      <c r="Y69" s="133">
        <v>820</v>
      </c>
      <c r="Z69" s="130"/>
      <c r="AA69" s="130"/>
      <c r="AB69" s="130"/>
      <c r="AC69" s="130"/>
      <c r="AD69" s="130"/>
      <c r="AE69" s="130"/>
      <c r="AF69" s="130"/>
      <c r="AG69" s="130"/>
      <c r="AH69" s="132"/>
      <c r="AI69" s="130"/>
      <c r="AJ69" s="130"/>
      <c r="AK69" s="130"/>
      <c r="AL69" s="130"/>
      <c r="AM69" s="130"/>
      <c r="AN69" s="130"/>
      <c r="AO69" s="130"/>
      <c r="AP69" s="130"/>
      <c r="AQ69" s="130"/>
      <c r="AR69" s="130"/>
      <c r="AS69" s="130"/>
      <c r="AT69" s="130"/>
      <c r="AU69" s="130"/>
      <c r="AV69" s="130"/>
      <c r="AW69" s="130"/>
      <c r="AX69" s="130"/>
      <c r="AY69" s="130"/>
      <c r="AZ69" s="130"/>
      <c r="BA69" s="130"/>
      <c r="BB69" s="130"/>
      <c r="BC69" s="130"/>
      <c r="BD69" s="130"/>
      <c r="BE69" s="130"/>
      <c r="BF69" s="130"/>
      <c r="BG69" s="130"/>
      <c r="BH69" s="130"/>
      <c r="BI69" s="130"/>
      <c r="BJ69" s="130"/>
      <c r="BK69" s="130"/>
      <c r="BL69" s="130"/>
      <c r="BM69" s="130"/>
      <c r="BN69" s="130"/>
      <c r="BO69" s="130"/>
      <c r="BP69" s="130"/>
      <c r="BQ69" s="130"/>
      <c r="BR69" s="130"/>
      <c r="BS69" s="130"/>
      <c r="BT69" s="130"/>
      <c r="BU69" s="130"/>
    </row>
    <row r="70" spans="1:248" s="166" customFormat="1" x14ac:dyDescent="0.2">
      <c r="A70" s="153"/>
      <c r="B70" s="153"/>
      <c r="C70" s="153"/>
      <c r="D70" s="153"/>
      <c r="E70" s="128"/>
      <c r="Q70" s="128"/>
      <c r="R70" s="128"/>
      <c r="S70" s="128"/>
      <c r="T70" s="128"/>
      <c r="U70" s="128"/>
      <c r="V70" s="128"/>
      <c r="W70" s="128"/>
      <c r="X70" s="133">
        <v>820</v>
      </c>
      <c r="Y70" s="133">
        <v>825</v>
      </c>
      <c r="Z70" s="130"/>
      <c r="AA70" s="130"/>
      <c r="AB70" s="130"/>
      <c r="AC70" s="130"/>
      <c r="AD70" s="130"/>
      <c r="AE70" s="130"/>
      <c r="AF70" s="130"/>
      <c r="AG70" s="130"/>
      <c r="AH70" s="132"/>
      <c r="AI70" s="130"/>
      <c r="AJ70" s="130"/>
      <c r="AK70" s="130"/>
      <c r="AL70" s="130"/>
      <c r="AM70" s="130"/>
      <c r="AN70" s="130"/>
      <c r="AO70" s="130"/>
      <c r="AP70" s="130"/>
      <c r="AQ70" s="130"/>
      <c r="AR70" s="130"/>
      <c r="AS70" s="130"/>
      <c r="AT70" s="130"/>
      <c r="AU70" s="130"/>
      <c r="AV70" s="130"/>
      <c r="AW70" s="130"/>
      <c r="AX70" s="130"/>
      <c r="AY70" s="130"/>
      <c r="AZ70" s="130"/>
      <c r="BA70" s="130"/>
      <c r="BB70" s="130"/>
      <c r="BC70" s="130"/>
      <c r="BD70" s="130"/>
      <c r="BE70" s="130"/>
      <c r="BF70" s="130"/>
      <c r="BG70" s="130"/>
      <c r="BH70" s="130"/>
      <c r="BI70" s="130"/>
      <c r="BJ70" s="130"/>
      <c r="BK70" s="130"/>
      <c r="BL70" s="130"/>
      <c r="BM70" s="130"/>
      <c r="BN70" s="130"/>
      <c r="BO70" s="130"/>
      <c r="BP70" s="130"/>
      <c r="BQ70" s="130"/>
      <c r="BR70" s="130"/>
      <c r="BS70" s="130"/>
      <c r="BT70" s="130"/>
      <c r="BU70" s="130"/>
    </row>
    <row r="71" spans="1:248" s="166" customFormat="1" x14ac:dyDescent="0.2">
      <c r="A71" s="153"/>
      <c r="B71" s="153"/>
      <c r="C71" s="153"/>
      <c r="D71" s="153"/>
      <c r="E71" s="128"/>
      <c r="Q71" s="128"/>
      <c r="R71" s="128"/>
      <c r="S71" s="128"/>
      <c r="T71" s="128"/>
      <c r="U71" s="128"/>
      <c r="V71" s="128"/>
      <c r="W71" s="128"/>
      <c r="X71" s="133">
        <v>825</v>
      </c>
      <c r="Y71" s="133">
        <v>866</v>
      </c>
      <c r="Z71" s="130"/>
      <c r="AA71" s="130"/>
      <c r="AB71" s="130"/>
      <c r="AC71" s="130"/>
      <c r="AD71" s="130"/>
      <c r="AE71" s="130"/>
      <c r="AF71" s="133"/>
      <c r="AG71" s="130"/>
      <c r="AH71" s="132"/>
      <c r="AI71" s="130"/>
      <c r="AJ71" s="130"/>
      <c r="AK71" s="130"/>
      <c r="AL71" s="130"/>
      <c r="AM71" s="130"/>
      <c r="AN71" s="130"/>
      <c r="AO71" s="130"/>
      <c r="AP71" s="130"/>
      <c r="AQ71" s="130"/>
      <c r="AR71" s="130"/>
      <c r="AS71" s="130"/>
      <c r="AT71" s="130"/>
      <c r="AU71" s="130"/>
      <c r="AV71" s="130"/>
      <c r="AW71" s="130"/>
      <c r="AX71" s="130"/>
      <c r="AY71" s="130"/>
      <c r="AZ71" s="130"/>
      <c r="BA71" s="130"/>
      <c r="BB71" s="130"/>
      <c r="BC71" s="130"/>
      <c r="BD71" s="130"/>
      <c r="BE71" s="130"/>
      <c r="BF71" s="130"/>
      <c r="BG71" s="130"/>
      <c r="BH71" s="130"/>
      <c r="BI71" s="130"/>
      <c r="BJ71" s="130"/>
      <c r="BK71" s="130"/>
      <c r="BL71" s="130"/>
      <c r="BM71" s="130"/>
      <c r="BN71" s="130"/>
      <c r="BO71" s="130"/>
      <c r="BP71" s="130"/>
      <c r="BQ71" s="130"/>
      <c r="BR71" s="130"/>
      <c r="BS71" s="130"/>
      <c r="BT71" s="130"/>
      <c r="BU71" s="130"/>
    </row>
    <row r="72" spans="1:248" s="166" customFormat="1" x14ac:dyDescent="0.2">
      <c r="A72" s="153"/>
      <c r="B72" s="153"/>
      <c r="C72" s="153"/>
      <c r="D72" s="153"/>
      <c r="E72" s="128"/>
      <c r="Q72" s="128"/>
      <c r="R72" s="128"/>
      <c r="S72" s="128"/>
      <c r="T72" s="128"/>
      <c r="U72" s="128"/>
      <c r="V72" s="128"/>
      <c r="W72" s="128"/>
      <c r="X72" s="133">
        <v>866</v>
      </c>
      <c r="Y72" s="133">
        <v>909</v>
      </c>
      <c r="Z72" s="130"/>
      <c r="AA72" s="130"/>
      <c r="AB72" s="130"/>
      <c r="AC72" s="130"/>
      <c r="AD72" s="130"/>
      <c r="AE72" s="130"/>
      <c r="AF72" s="130"/>
      <c r="AG72" s="130"/>
      <c r="AH72" s="132"/>
      <c r="AI72" s="130"/>
      <c r="AJ72" s="130"/>
      <c r="AK72" s="130"/>
      <c r="AL72" s="130"/>
      <c r="AM72" s="130"/>
      <c r="AN72" s="130"/>
      <c r="AO72" s="130"/>
      <c r="AP72" s="130"/>
      <c r="AQ72" s="130"/>
      <c r="AR72" s="130"/>
      <c r="AS72" s="130"/>
      <c r="AT72" s="130"/>
      <c r="AU72" s="130"/>
      <c r="AV72" s="130"/>
      <c r="AW72" s="130"/>
      <c r="AX72" s="130"/>
      <c r="AY72" s="130"/>
      <c r="AZ72" s="130"/>
      <c r="BA72" s="130"/>
      <c r="BB72" s="130"/>
      <c r="BC72" s="130"/>
      <c r="BD72" s="130"/>
      <c r="BE72" s="130"/>
      <c r="BF72" s="130"/>
      <c r="BG72" s="130"/>
      <c r="BH72" s="130"/>
      <c r="BI72" s="130"/>
      <c r="BJ72" s="130"/>
      <c r="BK72" s="130"/>
      <c r="BL72" s="130"/>
      <c r="BM72" s="130"/>
      <c r="BN72" s="130"/>
      <c r="BO72" s="130"/>
      <c r="BP72" s="130"/>
      <c r="BQ72" s="130"/>
      <c r="BR72" s="130"/>
      <c r="BS72" s="130"/>
      <c r="BT72" s="130"/>
      <c r="BU72" s="130"/>
    </row>
    <row r="73" spans="1:248" s="166" customFormat="1" x14ac:dyDescent="0.2">
      <c r="A73" s="153"/>
      <c r="B73" s="153"/>
      <c r="C73" s="153"/>
      <c r="D73" s="153">
        <f>MIN(A80:A330)</f>
        <v>0.23699999999999999</v>
      </c>
      <c r="E73" s="128"/>
      <c r="G73" s="166" t="s">
        <v>152</v>
      </c>
      <c r="Q73" s="128"/>
      <c r="R73" s="128"/>
      <c r="S73" s="128"/>
      <c r="T73" s="128"/>
      <c r="U73" s="128"/>
      <c r="V73" s="128"/>
      <c r="W73" s="128"/>
      <c r="X73" s="133">
        <v>909</v>
      </c>
      <c r="Y73" s="133">
        <v>910</v>
      </c>
      <c r="Z73" s="130"/>
      <c r="AA73" s="130"/>
      <c r="AB73" s="130"/>
      <c r="AC73" s="130"/>
      <c r="AD73" s="130"/>
      <c r="AE73" s="130"/>
      <c r="AF73" s="133"/>
      <c r="AG73" s="130"/>
      <c r="AH73" s="132"/>
      <c r="AI73" s="130"/>
      <c r="AJ73" s="130"/>
      <c r="AK73" s="130"/>
      <c r="AL73" s="130"/>
      <c r="AM73" s="130"/>
      <c r="AN73" s="130"/>
      <c r="AO73" s="130"/>
      <c r="AP73" s="130"/>
      <c r="AQ73" s="130"/>
      <c r="AR73" s="130"/>
      <c r="AS73" s="130"/>
      <c r="AT73" s="130"/>
      <c r="AU73" s="130"/>
      <c r="AV73" s="130"/>
      <c r="AW73" s="130"/>
      <c r="AX73" s="130"/>
      <c r="AY73" s="130"/>
      <c r="AZ73" s="130"/>
      <c r="BA73" s="130"/>
      <c r="BB73" s="130"/>
      <c r="BC73" s="130"/>
      <c r="BD73" s="130"/>
      <c r="BE73" s="130"/>
      <c r="BF73" s="130"/>
      <c r="BG73" s="130"/>
      <c r="BH73" s="130"/>
      <c r="BI73" s="130"/>
      <c r="BJ73" s="130"/>
      <c r="BK73" s="130"/>
      <c r="BL73" s="130"/>
      <c r="BM73" s="130"/>
      <c r="BN73" s="130"/>
      <c r="BO73" s="130"/>
      <c r="BP73" s="130"/>
      <c r="BQ73" s="130"/>
      <c r="BR73" s="130"/>
      <c r="BS73" s="130"/>
      <c r="BT73" s="130"/>
      <c r="BU73" s="130"/>
    </row>
    <row r="74" spans="1:248" s="166" customFormat="1" x14ac:dyDescent="0.2">
      <c r="C74" s="179"/>
      <c r="D74" s="166">
        <f>VLOOKUP(MIN(A80:A330),A80:E330,3,FALSE)</f>
        <v>50118.723362725868</v>
      </c>
      <c r="E74" s="162"/>
      <c r="F74" s="180">
        <f>VLOOKUP(D73,A80:E330,4,FALSE)</f>
        <v>-0.23680189609131297</v>
      </c>
      <c r="G74" s="181">
        <f>VLOOKUP(D73,A80:E330,5,FALSE)</f>
        <v>53.405197610915138</v>
      </c>
      <c r="I74" s="182">
        <f>F74-F75</f>
        <v>-0.5037047545564084</v>
      </c>
      <c r="J74" s="162"/>
      <c r="K74" s="183"/>
      <c r="L74" s="162"/>
      <c r="M74" s="162"/>
      <c r="N74" s="131"/>
      <c r="O74" s="131"/>
      <c r="Q74" s="128"/>
      <c r="R74" s="128"/>
      <c r="S74" s="128"/>
      <c r="T74" s="128"/>
      <c r="U74" s="128"/>
      <c r="V74" s="128"/>
      <c r="W74" s="128"/>
      <c r="X74" s="133">
        <v>910</v>
      </c>
      <c r="Y74" s="133">
        <v>953</v>
      </c>
      <c r="Z74" s="130"/>
      <c r="AA74" s="130"/>
      <c r="AB74" s="130"/>
      <c r="AC74" s="130"/>
      <c r="AD74" s="130"/>
      <c r="AE74" s="130"/>
      <c r="AF74" s="130"/>
      <c r="AG74" s="130"/>
      <c r="AH74" s="132"/>
      <c r="AI74" s="130"/>
      <c r="AJ74" s="130"/>
      <c r="AK74" s="130"/>
      <c r="AL74" s="130"/>
      <c r="AM74" s="130"/>
      <c r="AN74" s="130"/>
      <c r="AO74" s="130"/>
      <c r="AP74" s="130"/>
      <c r="AQ74" s="130"/>
      <c r="AR74" s="130"/>
      <c r="AS74" s="130"/>
      <c r="AT74" s="130"/>
      <c r="AU74" s="130"/>
      <c r="AV74" s="130"/>
      <c r="AW74" s="130"/>
      <c r="AX74" s="130"/>
      <c r="AY74" s="130"/>
      <c r="AZ74" s="130"/>
      <c r="BA74" s="130"/>
      <c r="BB74" s="130"/>
      <c r="BC74" s="130"/>
      <c r="BD74" s="130"/>
      <c r="BE74" s="130"/>
      <c r="BF74" s="130"/>
      <c r="BG74" s="130"/>
      <c r="BH74" s="130"/>
      <c r="BI74" s="130"/>
      <c r="BJ74" s="130"/>
      <c r="BK74" s="130"/>
      <c r="BL74" s="130"/>
      <c r="BM74" s="130"/>
      <c r="BN74" s="130"/>
      <c r="BO74" s="130"/>
      <c r="BP74" s="130"/>
      <c r="BQ74" s="130"/>
      <c r="BR74" s="130"/>
      <c r="BS74" s="130"/>
      <c r="BT74" s="130"/>
      <c r="BU74" s="130"/>
      <c r="CF74" s="130"/>
      <c r="CG74" s="130"/>
      <c r="CH74" s="130"/>
      <c r="CI74" s="130"/>
      <c r="CJ74" s="130"/>
      <c r="CK74" s="130"/>
      <c r="CL74" s="130"/>
      <c r="CM74" s="130"/>
      <c r="CN74" s="130"/>
      <c r="CO74" s="130"/>
      <c r="CP74" s="130"/>
      <c r="CQ74" s="130"/>
      <c r="CR74" s="130"/>
      <c r="CS74" s="130"/>
      <c r="CT74" s="130"/>
      <c r="CU74" s="130"/>
      <c r="CV74" s="130"/>
      <c r="CW74" s="130"/>
      <c r="CX74" s="130"/>
      <c r="CY74" s="130"/>
      <c r="CZ74" s="130"/>
      <c r="DA74" s="130"/>
    </row>
    <row r="75" spans="1:248" s="166" customFormat="1" x14ac:dyDescent="0.2">
      <c r="A75" s="132"/>
      <c r="B75" s="184"/>
      <c r="C75" s="132"/>
      <c r="D75" s="132">
        <f>IF(F74&gt;0,10^(LOG(D74)+0.02),10^(LOG(D74)-0.02))</f>
        <v>47863.009232262717</v>
      </c>
      <c r="E75" s="132"/>
      <c r="F75" s="181">
        <f>VLOOKUP(D75,C80:E330,2)</f>
        <v>0.26690285846509543</v>
      </c>
      <c r="G75" s="181">
        <f>VLOOKUP(D75,C80:E330,3)</f>
        <v>54.002069868148851</v>
      </c>
      <c r="I75" s="185">
        <f>F74/((F74-F75)/0.02)</f>
        <v>9.4024086113641894E-3</v>
      </c>
      <c r="J75" s="185">
        <f>(G75-G74)/0.02*I75</f>
        <v>0.28060184256493215</v>
      </c>
      <c r="K75" s="186"/>
      <c r="L75" s="132"/>
      <c r="M75" s="132"/>
      <c r="N75" s="165"/>
      <c r="O75" s="164"/>
      <c r="Q75" s="128"/>
      <c r="R75" s="128"/>
      <c r="S75" s="128"/>
      <c r="T75" s="128"/>
      <c r="U75" s="128"/>
      <c r="V75" s="128"/>
      <c r="W75" s="128"/>
      <c r="X75" s="133">
        <v>953</v>
      </c>
      <c r="Y75" s="133">
        <v>1000</v>
      </c>
      <c r="Z75" s="130"/>
      <c r="AA75" s="130"/>
      <c r="AB75" s="130"/>
      <c r="AC75" s="130"/>
      <c r="AD75" s="130"/>
      <c r="AE75" s="130"/>
      <c r="AF75" s="133"/>
      <c r="AG75" s="130"/>
      <c r="AH75" s="132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</row>
    <row r="76" spans="1:248" s="166" customFormat="1" x14ac:dyDescent="0.2">
      <c r="A76" s="130"/>
      <c r="B76" s="164"/>
      <c r="C76" s="130" t="s">
        <v>153</v>
      </c>
      <c r="D76" s="136">
        <f>IF(F74&gt;0,10^(LOG(D74)+I75),10^(LOG(D74)-I75))</f>
        <v>49045.322136799034</v>
      </c>
      <c r="E76" s="130"/>
      <c r="F76" s="130"/>
      <c r="G76" s="187">
        <f>G74+J75</f>
        <v>53.685799453480072</v>
      </c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0"/>
      <c r="Y76" s="130"/>
      <c r="Z76" s="130"/>
      <c r="AA76" s="130"/>
      <c r="AB76" s="130"/>
      <c r="AC76" s="132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88"/>
      <c r="CB76" s="188"/>
      <c r="CC76" s="188"/>
      <c r="CD76" s="188"/>
      <c r="CE76" s="188"/>
      <c r="CF76" s="188"/>
      <c r="CG76" s="188"/>
      <c r="CH76" s="188"/>
      <c r="CI76" s="188"/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</row>
    <row r="77" spans="1:248" s="166" customFormat="1" x14ac:dyDescent="0.2">
      <c r="D77" s="129" t="s">
        <v>26</v>
      </c>
      <c r="H77" s="131" t="s">
        <v>40</v>
      </c>
      <c r="N77" s="186"/>
      <c r="Q77" s="128"/>
      <c r="R77" s="128"/>
      <c r="S77" s="131" t="s">
        <v>98</v>
      </c>
      <c r="T77" s="128"/>
      <c r="U77" s="131" t="s">
        <v>5</v>
      </c>
      <c r="V77" s="130"/>
      <c r="W77" s="132"/>
      <c r="X77" s="130"/>
      <c r="Y77" s="130"/>
      <c r="Z77" s="130"/>
      <c r="AA77" s="133"/>
      <c r="AB77" s="130"/>
      <c r="AC77" s="132"/>
      <c r="AD77" s="130"/>
      <c r="AE77" s="130"/>
      <c r="AF77" s="130"/>
      <c r="AG77" s="128"/>
      <c r="AH77" s="130"/>
      <c r="AI77" s="130"/>
      <c r="AJ77" s="130"/>
      <c r="AK77" s="130"/>
      <c r="AL77" s="130"/>
      <c r="AM77" s="130"/>
      <c r="AN77" s="130"/>
      <c r="AO77" s="130"/>
      <c r="AP77" s="130"/>
      <c r="AQ77" s="130"/>
      <c r="AR77" s="130"/>
      <c r="AS77" s="130"/>
      <c r="AT77" s="130"/>
      <c r="AU77" s="130"/>
      <c r="AV77" s="130"/>
      <c r="AW77" s="130"/>
      <c r="AX77" s="130"/>
      <c r="AY77" s="130"/>
      <c r="AZ77" s="130"/>
      <c r="BA77" s="130"/>
      <c r="BB77" s="130"/>
      <c r="BC77" s="130"/>
      <c r="BD77" s="130"/>
      <c r="BE77" s="130"/>
      <c r="BF77" s="130"/>
      <c r="BG77" s="130"/>
      <c r="CA77" s="188"/>
      <c r="CB77" s="188"/>
      <c r="CC77" s="188"/>
      <c r="CD77" s="188"/>
      <c r="CE77" s="188"/>
      <c r="CF77" s="188"/>
      <c r="CG77" s="188"/>
      <c r="CH77" s="188"/>
      <c r="CI77" s="188"/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</row>
    <row r="78" spans="1:248" s="188" customFormat="1" x14ac:dyDescent="0.2">
      <c r="C78" s="189"/>
      <c r="D78" s="163" t="s">
        <v>54</v>
      </c>
      <c r="E78" s="163" t="s">
        <v>55</v>
      </c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61"/>
      <c r="R78" s="161"/>
      <c r="S78" s="161"/>
      <c r="T78" s="162" t="s">
        <v>25</v>
      </c>
      <c r="U78" s="162" t="s">
        <v>50</v>
      </c>
      <c r="V78" s="162" t="s">
        <v>51</v>
      </c>
      <c r="W78" s="162" t="s">
        <v>29</v>
      </c>
      <c r="X78" s="163" t="s">
        <v>149</v>
      </c>
      <c r="Y78" s="161" t="s">
        <v>141</v>
      </c>
      <c r="Z78" s="128" t="s">
        <v>142</v>
      </c>
      <c r="AA78" s="130"/>
      <c r="AB78" s="130"/>
      <c r="AC78" s="132"/>
      <c r="AD78" s="130"/>
      <c r="AE78" s="130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  <c r="AS78" s="129"/>
      <c r="CA78" s="166"/>
      <c r="CB78" s="166"/>
      <c r="CC78" s="166"/>
      <c r="CD78" s="166"/>
      <c r="CE78" s="166"/>
      <c r="CF78" s="166"/>
      <c r="CG78" s="166"/>
      <c r="CH78" s="166"/>
      <c r="CI78" s="166"/>
      <c r="CJ78" s="166"/>
      <c r="CK78" s="166"/>
      <c r="CL78" s="166"/>
      <c r="CM78" s="166"/>
      <c r="CN78" s="166"/>
      <c r="CO78" s="166"/>
      <c r="CP78" s="166"/>
      <c r="CQ78" s="166"/>
      <c r="CR78" s="166"/>
      <c r="CS78" s="166"/>
      <c r="CT78" s="166"/>
      <c r="CU78" s="166"/>
      <c r="CV78" s="166"/>
    </row>
    <row r="79" spans="1:248" s="188" customFormat="1" x14ac:dyDescent="0.2">
      <c r="C79" s="162" t="s">
        <v>4</v>
      </c>
      <c r="D79" s="163"/>
      <c r="E79" s="163"/>
      <c r="F79" s="162"/>
      <c r="G79" s="162"/>
      <c r="H79" s="162" t="s">
        <v>128</v>
      </c>
      <c r="I79" s="162" t="s">
        <v>129</v>
      </c>
      <c r="J79" s="162" t="s">
        <v>130</v>
      </c>
      <c r="K79" s="162"/>
      <c r="L79" s="162" t="s">
        <v>131</v>
      </c>
      <c r="M79" s="162" t="s">
        <v>132</v>
      </c>
      <c r="N79" s="162" t="s">
        <v>133</v>
      </c>
      <c r="O79" s="162" t="s">
        <v>43</v>
      </c>
      <c r="P79" s="162" t="s">
        <v>44</v>
      </c>
      <c r="Q79" s="162" t="s">
        <v>2</v>
      </c>
      <c r="R79" s="162"/>
      <c r="S79" s="131" t="s">
        <v>42</v>
      </c>
      <c r="T79" s="162"/>
      <c r="U79" s="132"/>
      <c r="V79" s="132"/>
      <c r="W79" s="132"/>
      <c r="X79" s="132"/>
      <c r="Y79" s="129"/>
      <c r="Z79" s="129"/>
      <c r="AA79" s="133"/>
      <c r="AB79" s="130"/>
      <c r="AC79" s="132"/>
      <c r="AD79" s="130"/>
      <c r="AE79" s="130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  <c r="AS79" s="129"/>
      <c r="CA79" s="166"/>
      <c r="CB79" s="166"/>
      <c r="CC79" s="166"/>
      <c r="CD79" s="166"/>
      <c r="CE79" s="166"/>
      <c r="CF79" s="166"/>
      <c r="CG79" s="166"/>
      <c r="CH79" s="166"/>
      <c r="CI79" s="166"/>
      <c r="CJ79" s="166"/>
      <c r="CK79" s="166"/>
      <c r="CL79" s="166"/>
      <c r="CM79" s="166"/>
      <c r="CN79" s="166"/>
      <c r="CO79" s="166"/>
      <c r="CP79" s="166"/>
      <c r="CQ79" s="166"/>
      <c r="CR79" s="166"/>
      <c r="CS79" s="166"/>
      <c r="CT79" s="166"/>
      <c r="CU79" s="166"/>
      <c r="CV79" s="166"/>
    </row>
    <row r="80" spans="1:248" s="166" customFormat="1" x14ac:dyDescent="0.2">
      <c r="A80" s="132">
        <f t="shared" ref="A80:A144" si="0">ROUND(ABS(D80),3)</f>
        <v>56.881</v>
      </c>
      <c r="B80" s="132">
        <f>LOG(C80)</f>
        <v>1</v>
      </c>
      <c r="C80" s="132">
        <v>10</v>
      </c>
      <c r="D80" s="137">
        <f t="shared" ref="D80:D143" si="1">S80+U80</f>
        <v>56.88133795417923</v>
      </c>
      <c r="E80" s="137">
        <f t="shared" ref="E80:E143" si="2">P80+V80</f>
        <v>168.32318093767816</v>
      </c>
      <c r="G80" s="132"/>
      <c r="H80" s="184" t="str">
        <f t="shared" ref="H80:H143" si="3">IMSUM(IMDIV(1,COMPLEX(0,Q80*COUT*10^-6)),ESR*10^-3)</f>
        <v>0.5-72.3431559508615i</v>
      </c>
      <c r="I80" s="132" t="str">
        <f t="shared" ref="I80:I143" si="4">IMSUM(IMDIV(1,COMPLEX(0,Q80*MLCC*10^-6)),MLCC_ESR*10^-3)</f>
        <v>0.01-361.715779754307i</v>
      </c>
      <c r="J80" s="132" t="str">
        <f t="shared" ref="J80:J143" si="5">IMDIV(IMPRODUCT(H80,I80),IMSUM(H80,I80))</f>
        <v>0.347499533804188-60.286360069753i</v>
      </c>
      <c r="K80" s="132"/>
      <c r="L80" s="132" t="str">
        <f t="shared" ref="L80:L143" si="6">IMDIV(IMPRODUCT(J80,VOUT/IOUT_max),IMSUM(J80,VOUT/IOUT_max))</f>
        <v>1.37734876114304-0.031483369501272i</v>
      </c>
      <c r="M80" s="132" t="str">
        <f t="shared" ref="M80:M143" si="7">COMPLEX(DCR*10^-3,Q80*LOUT*10^-6)</f>
        <v>0.009+0.000207345115136926i</v>
      </c>
      <c r="N80" s="132" t="str">
        <f t="shared" ref="N80:N143" si="8">IMDIV(L80,IMSUM(M80,L80))</f>
        <v>0.993514801848525-0.000295868068820692i</v>
      </c>
      <c r="O80" s="185">
        <f t="shared" ref="O80:O143" si="9">20*LOG(IMABS(N80))</f>
        <v>-5.6512778518453717E-2</v>
      </c>
      <c r="P80" s="185">
        <f t="shared" ref="P80:P143" si="10">180/PI()*IMARGUMENT(N80)</f>
        <v>-1.7062645773817438E-2</v>
      </c>
      <c r="Q80" s="132">
        <f t="shared" ref="Q80:Q143" si="11">2*PI()*C80</f>
        <v>62.831853071795862</v>
      </c>
      <c r="R80" s="132">
        <v>1</v>
      </c>
      <c r="S80" s="164">
        <f t="shared" ref="S80:S143" si="12">20*LOG(IMABS(N80)*$F$62)</f>
        <v>14.990440960858564</v>
      </c>
      <c r="T80" s="132" t="str">
        <f t="shared" ref="T80:T143" si="13">COMPLEX(1,Q80*(R_1+R_2)*C_1*10^-12)</f>
        <v>1+0.000873865412522537i</v>
      </c>
      <c r="U80" s="138">
        <f t="shared" ref="U80:U143" si="14">20*LOG(IMABS(AE89))</f>
        <v>41.890896993320666</v>
      </c>
      <c r="V80" s="132">
        <f t="shared" ref="V80:V143" si="15">IF(180/PI()*IMARGUMENT(AE89)&lt;0,180/PI()*IMARGUMENT(AE89)+360,180/PI()*IMARGUMENT(AE89))</f>
        <v>168.34024358345198</v>
      </c>
      <c r="W80" s="132">
        <f t="shared" ref="W80:W143" si="16">20*LOG(IMABS(Y80))</f>
        <v>59.999951745321304</v>
      </c>
      <c r="X80" s="138">
        <f t="shared" ref="X80:X143" si="17">180/PI()*IMARGUMENT(Y80)</f>
        <v>-0.19104252013920037</v>
      </c>
      <c r="Y80" s="128" t="str">
        <f t="shared" ref="Y80:Y143" si="18">IMDIV(10^(DCGAIN/20),IMPRODUCT(COMPLEX(1,2*PI()*C80/(2*PI()*(GBWP*10^6/10^(DCGAIN/20)))),COMPLEX(1,2*PI()*C80/(2*PI()*EAP*10^6))))</f>
        <v>999.988885678048-3.33429628559349i</v>
      </c>
      <c r="Z80" s="128" t="str">
        <f t="shared" ref="Z80:Z143" si="19">IMDIV(1,COMPLEX(0,2*PI()*C80*C_3*10^-12))</f>
        <v>-1326291192.43246i</v>
      </c>
      <c r="AA80" s="130"/>
      <c r="AB80" s="130"/>
      <c r="AC80" s="132"/>
      <c r="AD80" s="130"/>
      <c r="AE80" s="130"/>
      <c r="AF80" s="130"/>
      <c r="AG80" s="130"/>
      <c r="AH80" s="130"/>
      <c r="AI80" s="130"/>
      <c r="AJ80" s="130"/>
      <c r="AK80" s="130"/>
      <c r="AL80" s="130"/>
      <c r="AM80" s="130"/>
      <c r="AN80" s="130"/>
      <c r="AO80" s="130"/>
      <c r="AP80" s="130"/>
      <c r="AQ80" s="130"/>
      <c r="AR80" s="130"/>
      <c r="AS80" s="130"/>
    </row>
    <row r="81" spans="1:45" s="166" customFormat="1" x14ac:dyDescent="0.2">
      <c r="A81" s="132">
        <f t="shared" si="0"/>
        <v>56.863999999999997</v>
      </c>
      <c r="B81" s="132">
        <f t="shared" ref="B81:B144" si="20">LOG(C81)</f>
        <v>1.0200000000000002</v>
      </c>
      <c r="C81" s="138">
        <f t="shared" ref="C81:C143" si="21">10^R81</f>
        <v>10.471285480509</v>
      </c>
      <c r="D81" s="137">
        <f t="shared" si="1"/>
        <v>56.863985141979555</v>
      </c>
      <c r="E81" s="132">
        <f t="shared" si="2"/>
        <v>167.78935181931396</v>
      </c>
      <c r="G81" s="138"/>
      <c r="H81" s="184" t="str">
        <f t="shared" si="3"/>
        <v>0.5-69.087177582465i</v>
      </c>
      <c r="I81" s="132" t="str">
        <f t="shared" si="4"/>
        <v>0.01-345.435887912326i</v>
      </c>
      <c r="J81" s="132" t="str">
        <f t="shared" si="5"/>
        <v>0.347499488826527-57.5730634622418i</v>
      </c>
      <c r="K81" s="132"/>
      <c r="L81" s="132" t="str">
        <f t="shared" si="6"/>
        <v>1.37726189057749-0.032964510120499i</v>
      </c>
      <c r="M81" s="132" t="str">
        <f t="shared" si="7"/>
        <v>0.009+0.000217116989358776i</v>
      </c>
      <c r="N81" s="132" t="str">
        <f t="shared" si="8"/>
        <v>0.993515038912403-0.000309813436013569i</v>
      </c>
      <c r="O81" s="185">
        <f t="shared" si="9"/>
        <v>-5.6510668804393004E-2</v>
      </c>
      <c r="P81" s="185">
        <f t="shared" si="10"/>
        <v>-1.7866867686349167E-2</v>
      </c>
      <c r="Q81" s="132">
        <f t="shared" si="11"/>
        <v>65.793027078417083</v>
      </c>
      <c r="R81" s="132">
        <f t="shared" ref="R81:R144" si="22">R80+0.02</f>
        <v>1.02</v>
      </c>
      <c r="S81" s="164">
        <f t="shared" si="12"/>
        <v>14.990443070572626</v>
      </c>
      <c r="T81" s="132" t="str">
        <f t="shared" si="13"/>
        <v>1+0.000915049420606625i</v>
      </c>
      <c r="U81" s="138">
        <f t="shared" si="14"/>
        <v>41.873542071406931</v>
      </c>
      <c r="V81" s="132">
        <f t="shared" si="15"/>
        <v>167.8072186870003</v>
      </c>
      <c r="W81" s="132">
        <f t="shared" si="16"/>
        <v>59.999947089825305</v>
      </c>
      <c r="X81" s="138">
        <f t="shared" si="17"/>
        <v>-0.20004600526972316</v>
      </c>
      <c r="Y81" s="128" t="str">
        <f t="shared" si="18"/>
        <v>999.987813401378-3.49143308559998i</v>
      </c>
      <c r="Z81" s="128" t="str">
        <f t="shared" si="19"/>
        <v>-1266598255.67853i</v>
      </c>
      <c r="AA81" s="133"/>
      <c r="AB81" s="130"/>
      <c r="AC81" s="132"/>
      <c r="AD81" s="130"/>
      <c r="AE81" s="130"/>
      <c r="AF81" s="130"/>
      <c r="AG81" s="130"/>
      <c r="AH81" s="130"/>
      <c r="AI81" s="130"/>
      <c r="AJ81" s="130"/>
      <c r="AK81" s="130"/>
      <c r="AL81" s="130"/>
      <c r="AM81" s="130"/>
      <c r="AN81" s="130"/>
      <c r="AO81" s="130"/>
      <c r="AP81" s="130"/>
      <c r="AQ81" s="130"/>
      <c r="AR81" s="130"/>
      <c r="AS81" s="130"/>
    </row>
    <row r="82" spans="1:45" s="166" customFormat="1" x14ac:dyDescent="0.2">
      <c r="A82" s="132">
        <f t="shared" si="0"/>
        <v>56.844999999999999</v>
      </c>
      <c r="B82" s="132">
        <f t="shared" si="20"/>
        <v>1.04</v>
      </c>
      <c r="C82" s="138">
        <f t="shared" si="21"/>
        <v>10.964781961431854</v>
      </c>
      <c r="D82" s="137">
        <f t="shared" si="1"/>
        <v>56.845037541838039</v>
      </c>
      <c r="E82" s="132">
        <f t="shared" si="2"/>
        <v>167.23271109951401</v>
      </c>
      <c r="G82" s="138"/>
      <c r="H82" s="184" t="str">
        <f t="shared" si="3"/>
        <v>0.5-65.9777423804007i</v>
      </c>
      <c r="I82" s="132" t="str">
        <f t="shared" si="4"/>
        <v>0.01-329.888711902003i</v>
      </c>
      <c r="J82" s="132" t="str">
        <f t="shared" si="5"/>
        <v>0.347499439509513-54.9818870412789i</v>
      </c>
      <c r="K82" s="132"/>
      <c r="L82" s="132" t="str">
        <f t="shared" si="6"/>
        <v>1.37716665492679-0.0345150663694458i</v>
      </c>
      <c r="M82" s="132" t="str">
        <f t="shared" si="7"/>
        <v>0.009+0.000227349397824438i</v>
      </c>
      <c r="N82" s="132" t="str">
        <f t="shared" si="8"/>
        <v>0.993515298845703-0.000324416255469818i</v>
      </c>
      <c r="O82" s="185">
        <f t="shared" si="9"/>
        <v>-5.6508355566811809E-2</v>
      </c>
      <c r="P82" s="185">
        <f t="shared" si="10"/>
        <v>-1.8709003882297081E-2</v>
      </c>
      <c r="Q82" s="132">
        <f t="shared" si="11"/>
        <v>68.893756916496386</v>
      </c>
      <c r="R82" s="132">
        <f t="shared" si="22"/>
        <v>1.04</v>
      </c>
      <c r="S82" s="164">
        <f t="shared" si="12"/>
        <v>14.990445383810204</v>
      </c>
      <c r="T82" s="132" t="str">
        <f t="shared" si="13"/>
        <v>1+0.000958174371194632i</v>
      </c>
      <c r="U82" s="138">
        <f t="shared" si="14"/>
        <v>41.854592158027835</v>
      </c>
      <c r="V82" s="132">
        <f t="shared" si="15"/>
        <v>167.2514201033963</v>
      </c>
      <c r="W82" s="132">
        <f t="shared" si="16"/>
        <v>59.999941985181195</v>
      </c>
      <c r="X82" s="138">
        <f t="shared" si="17"/>
        <v>-0.2094738009949533</v>
      </c>
      <c r="Y82" s="128" t="str">
        <f t="shared" si="18"/>
        <v>999.986637676032-3.65597496035048i</v>
      </c>
      <c r="Z82" s="128" t="str">
        <f t="shared" si="19"/>
        <v>-1209591943.64068i</v>
      </c>
      <c r="AA82" s="130"/>
      <c r="AB82" s="130"/>
      <c r="AC82" s="132"/>
      <c r="AD82" s="130"/>
      <c r="AE82" s="130"/>
      <c r="AF82" s="130"/>
      <c r="AG82" s="130"/>
      <c r="AH82" s="130"/>
      <c r="AI82" s="130"/>
      <c r="AJ82" s="130"/>
      <c r="AK82" s="130"/>
      <c r="AL82" s="130"/>
      <c r="AM82" s="130"/>
      <c r="AN82" s="130"/>
      <c r="AO82" s="130"/>
      <c r="AP82" s="130"/>
      <c r="AQ82" s="130"/>
      <c r="AR82" s="130"/>
      <c r="AS82" s="130"/>
    </row>
    <row r="83" spans="1:45" s="166" customFormat="1" x14ac:dyDescent="0.2">
      <c r="A83" s="132">
        <f t="shared" si="0"/>
        <v>56.823999999999998</v>
      </c>
      <c r="B83" s="132">
        <f t="shared" si="20"/>
        <v>1.0600000000000003</v>
      </c>
      <c r="C83" s="138">
        <f t="shared" si="21"/>
        <v>11.481536214968834</v>
      </c>
      <c r="D83" s="137">
        <f t="shared" si="1"/>
        <v>56.824356515937197</v>
      </c>
      <c r="E83" s="132">
        <f t="shared" si="2"/>
        <v>166.65250795042559</v>
      </c>
      <c r="G83" s="138"/>
      <c r="H83" s="184" t="str">
        <f t="shared" si="3"/>
        <v>0.5-63.0082548157147i</v>
      </c>
      <c r="I83" s="132" t="str">
        <f t="shared" si="4"/>
        <v>0.01-315.041274078575i</v>
      </c>
      <c r="J83" s="132" t="str">
        <f t="shared" si="5"/>
        <v>0.347499385434501-52.507334574268i</v>
      </c>
      <c r="K83" s="132"/>
      <c r="L83" s="132" t="str">
        <f t="shared" si="6"/>
        <v>1.37706225037989-0.0361382522976697i</v>
      </c>
      <c r="M83" s="132" t="str">
        <f t="shared" si="7"/>
        <v>0.009+0.00023806404484415i</v>
      </c>
      <c r="N83" s="132" t="str">
        <f t="shared" si="8"/>
        <v>0.993515583854407-0.000339707545639891i</v>
      </c>
      <c r="O83" s="185">
        <f t="shared" si="9"/>
        <v>-5.6505819173744185E-2</v>
      </c>
      <c r="P83" s="185">
        <f t="shared" si="10"/>
        <v>-1.9590843054400359E-2</v>
      </c>
      <c r="Q83" s="132">
        <f t="shared" si="11"/>
        <v>72.140619649742504</v>
      </c>
      <c r="R83" s="132">
        <f t="shared" si="22"/>
        <v>1.06</v>
      </c>
      <c r="S83" s="164">
        <f t="shared" si="12"/>
        <v>14.990447920203273</v>
      </c>
      <c r="T83" s="132" t="str">
        <f t="shared" si="13"/>
        <v>1+0.00100333173808862i</v>
      </c>
      <c r="U83" s="138">
        <f t="shared" si="14"/>
        <v>41.833908595733924</v>
      </c>
      <c r="V83" s="132">
        <f t="shared" si="15"/>
        <v>166.67209879347999</v>
      </c>
      <c r="W83" s="132">
        <f t="shared" si="16"/>
        <v>59.999936388057115</v>
      </c>
      <c r="X83" s="138">
        <f t="shared" si="17"/>
        <v>-0.21934590288868641</v>
      </c>
      <c r="Y83" s="128" t="str">
        <f t="shared" si="18"/>
        <v>999.985348522002-3.82827081811936i</v>
      </c>
      <c r="Z83" s="128" t="str">
        <f t="shared" si="19"/>
        <v>-1155151338.28811i</v>
      </c>
      <c r="AA83" s="133"/>
      <c r="AB83" s="130"/>
      <c r="AC83" s="132"/>
      <c r="AD83" s="130"/>
      <c r="AE83" s="130"/>
      <c r="AF83" s="130"/>
      <c r="AG83" s="130"/>
      <c r="AH83" s="130"/>
      <c r="AI83" s="130"/>
      <c r="AJ83" s="130"/>
      <c r="AK83" s="130"/>
      <c r="AL83" s="130"/>
      <c r="AM83" s="130"/>
      <c r="AN83" s="130"/>
      <c r="AO83" s="130"/>
      <c r="AP83" s="130"/>
      <c r="AQ83" s="130"/>
      <c r="AR83" s="130"/>
      <c r="AS83" s="130"/>
    </row>
    <row r="84" spans="1:45" s="166" customFormat="1" x14ac:dyDescent="0.2">
      <c r="A84" s="132">
        <f t="shared" si="0"/>
        <v>56.802</v>
      </c>
      <c r="B84" s="132">
        <f t="shared" si="20"/>
        <v>1.08</v>
      </c>
      <c r="C84" s="138">
        <f t="shared" si="21"/>
        <v>12.022644346174133</v>
      </c>
      <c r="D84" s="137">
        <f t="shared" si="1"/>
        <v>56.801792880678725</v>
      </c>
      <c r="E84" s="132">
        <f t="shared" si="2"/>
        <v>166.04799852480423</v>
      </c>
      <c r="G84" s="138"/>
      <c r="H84" s="184" t="str">
        <f t="shared" si="3"/>
        <v>0.5-60.1724162071574i</v>
      </c>
      <c r="I84" s="132" t="str">
        <f t="shared" si="4"/>
        <v>0.01-300.862081035786i</v>
      </c>
      <c r="J84" s="132" t="str">
        <f t="shared" si="5"/>
        <v>0.347499326142448-50.1441572036563i</v>
      </c>
      <c r="K84" s="132"/>
      <c r="L84" s="132" t="str">
        <f t="shared" si="6"/>
        <v>1.37694779622864-0.0378374249568748i</v>
      </c>
      <c r="M84" s="132" t="str">
        <f t="shared" si="7"/>
        <v>0.009+0.000249283657620779i</v>
      </c>
      <c r="N84" s="132" t="str">
        <f t="shared" si="8"/>
        <v>0.99351589635724-0.000355719791817155i</v>
      </c>
      <c r="O84" s="185">
        <f t="shared" si="9"/>
        <v>-5.6503038099904E-2</v>
      </c>
      <c r="P84" s="185">
        <f t="shared" si="10"/>
        <v>-2.0514258467538096E-2</v>
      </c>
      <c r="Q84" s="132">
        <f t="shared" si="11"/>
        <v>75.540502309327039</v>
      </c>
      <c r="R84" s="132">
        <f t="shared" si="22"/>
        <v>1.08</v>
      </c>
      <c r="S84" s="164">
        <f t="shared" si="12"/>
        <v>14.990450701277114</v>
      </c>
      <c r="T84" s="132" t="str">
        <f t="shared" si="13"/>
        <v>1+0.00105061730611812i</v>
      </c>
      <c r="U84" s="138">
        <f t="shared" si="14"/>
        <v>41.811342179401613</v>
      </c>
      <c r="V84" s="132">
        <f t="shared" si="15"/>
        <v>166.06851278327176</v>
      </c>
      <c r="W84" s="132">
        <f t="shared" si="16"/>
        <v>59.999930250940892</v>
      </c>
      <c r="X84" s="138">
        <f t="shared" si="17"/>
        <v>-0.22968324865470938</v>
      </c>
      <c r="Y84" s="128" t="str">
        <f t="shared" si="18"/>
        <v>999.983934996536-4.00868599855164i</v>
      </c>
      <c r="Z84" s="128" t="str">
        <f t="shared" si="19"/>
        <v>-1103160963.79788i</v>
      </c>
      <c r="AA84" s="130"/>
      <c r="AB84" s="130"/>
      <c r="AC84" s="132"/>
      <c r="AD84" s="132"/>
      <c r="AE84" s="130"/>
      <c r="AF84" s="130"/>
      <c r="AG84" s="130"/>
      <c r="AH84" s="130"/>
      <c r="AI84" s="130"/>
      <c r="AJ84" s="130"/>
      <c r="AK84" s="130"/>
      <c r="AL84" s="130"/>
      <c r="AM84" s="130"/>
      <c r="AN84" s="130"/>
      <c r="AO84" s="130"/>
      <c r="AP84" s="130"/>
      <c r="AQ84" s="130"/>
      <c r="AR84" s="130"/>
      <c r="AS84" s="130"/>
    </row>
    <row r="85" spans="1:45" s="166" customFormat="1" x14ac:dyDescent="0.2">
      <c r="A85" s="132">
        <f t="shared" si="0"/>
        <v>56.777000000000001</v>
      </c>
      <c r="B85" s="132">
        <f t="shared" si="20"/>
        <v>1.1000000000000003</v>
      </c>
      <c r="C85" s="138">
        <f t="shared" si="21"/>
        <v>12.58925411794168</v>
      </c>
      <c r="D85" s="137">
        <f t="shared" si="1"/>
        <v>56.777186388411188</v>
      </c>
      <c r="E85" s="132">
        <f t="shared" si="2"/>
        <v>165.4184512355865</v>
      </c>
      <c r="G85" s="138"/>
      <c r="H85" s="184" t="str">
        <f t="shared" si="3"/>
        <v>0.5-57.4642113608311i</v>
      </c>
      <c r="I85" s="132" t="str">
        <f t="shared" si="4"/>
        <v>0.01-287.321056804156i</v>
      </c>
      <c r="J85" s="132" t="str">
        <f t="shared" si="5"/>
        <v>0.347499261130027-47.8873423134013i</v>
      </c>
      <c r="K85" s="132"/>
      <c r="L85" s="132" t="str">
        <f t="shared" si="6"/>
        <v>1.37682232758051-0.0396160898940934i</v>
      </c>
      <c r="M85" s="132" t="str">
        <f t="shared" si="7"/>
        <v>0.009+0.000261032034457264i</v>
      </c>
      <c r="N85" s="132" t="str">
        <f t="shared" si="8"/>
        <v>0.993516239006179-0.000372487016007608i</v>
      </c>
      <c r="O85" s="185">
        <f t="shared" si="9"/>
        <v>-5.6499988744171226E-2</v>
      </c>
      <c r="P85" s="185">
        <f t="shared" si="10"/>
        <v>-2.1481211985061571E-2</v>
      </c>
      <c r="Q85" s="132">
        <f t="shared" si="11"/>
        <v>79.100616502201262</v>
      </c>
      <c r="R85" s="132">
        <f t="shared" si="22"/>
        <v>1.1000000000000001</v>
      </c>
      <c r="S85" s="164">
        <f t="shared" si="12"/>
        <v>14.990453750632845</v>
      </c>
      <c r="T85" s="132" t="str">
        <f t="shared" si="13"/>
        <v>1+0.00110013137431262i</v>
      </c>
      <c r="U85" s="138">
        <f t="shared" si="14"/>
        <v>41.786732637778343</v>
      </c>
      <c r="V85" s="132">
        <f t="shared" si="15"/>
        <v>165.43993244757155</v>
      </c>
      <c r="W85" s="132">
        <f t="shared" si="16"/>
        <v>59.999923521736733</v>
      </c>
      <c r="X85" s="138">
        <f t="shared" si="17"/>
        <v>-0.24050776249360051</v>
      </c>
      <c r="Y85" s="128" t="str">
        <f t="shared" si="18"/>
        <v>999.982385101274-4.1976030452469i</v>
      </c>
      <c r="Z85" s="128" t="str">
        <f t="shared" si="19"/>
        <v>-1053510541.61524i</v>
      </c>
      <c r="AA85" s="130"/>
      <c r="AB85" s="130"/>
      <c r="AC85" s="130"/>
      <c r="AD85" s="130"/>
      <c r="AE85" s="130"/>
      <c r="AF85" s="130"/>
      <c r="AG85" s="130"/>
      <c r="AH85" s="130"/>
      <c r="AI85" s="130"/>
      <c r="AJ85" s="130"/>
      <c r="AK85" s="130"/>
      <c r="AL85" s="130"/>
      <c r="AM85" s="130"/>
      <c r="AN85" s="130"/>
      <c r="AO85" s="130"/>
      <c r="AP85" s="130"/>
      <c r="AQ85" s="130"/>
      <c r="AR85" s="130"/>
      <c r="AS85" s="130"/>
    </row>
    <row r="86" spans="1:45" s="166" customFormat="1" x14ac:dyDescent="0.2">
      <c r="A86" s="132">
        <f t="shared" si="0"/>
        <v>56.75</v>
      </c>
      <c r="B86" s="132">
        <f t="shared" si="20"/>
        <v>1.1200000000000001</v>
      </c>
      <c r="C86" s="138">
        <f t="shared" si="21"/>
        <v>13.182567385564075</v>
      </c>
      <c r="D86" s="137">
        <f t="shared" si="1"/>
        <v>56.750365239384394</v>
      </c>
      <c r="E86" s="132">
        <f t="shared" si="2"/>
        <v>164.76315272362572</v>
      </c>
      <c r="G86" s="138"/>
      <c r="H86" s="184" t="str">
        <f t="shared" si="3"/>
        <v>0.5-54.8778958111626i</v>
      </c>
      <c r="I86" s="132" t="str">
        <f t="shared" si="4"/>
        <v>0.01-274.389479055813i</v>
      </c>
      <c r="J86" s="132" t="str">
        <f t="shared" si="5"/>
        <v>0.347499189845356-45.7321028965423i</v>
      </c>
      <c r="K86" s="132"/>
      <c r="L86" s="132" t="str">
        <f t="shared" si="6"/>
        <v>1.37668478739469-0.0414779067213609i</v>
      </c>
      <c r="M86" s="132" t="str">
        <f t="shared" si="7"/>
        <v>0.009+0.000273334095236007i</v>
      </c>
      <c r="N86" s="132" t="str">
        <f t="shared" si="8"/>
        <v>0.993516614708938-0.000390044850200665i</v>
      </c>
      <c r="O86" s="185">
        <f t="shared" si="9"/>
        <v>-5.6496645229470045E-2</v>
      </c>
      <c r="P86" s="185">
        <f t="shared" si="10"/>
        <v>-2.2493758290814247E-2</v>
      </c>
      <c r="Q86" s="132">
        <f t="shared" si="11"/>
        <v>82.828513707881015</v>
      </c>
      <c r="R86" s="132">
        <f t="shared" si="22"/>
        <v>1.1200000000000001</v>
      </c>
      <c r="S86" s="164">
        <f t="shared" si="12"/>
        <v>14.990457094147548</v>
      </c>
      <c r="T86" s="132" t="str">
        <f t="shared" si="13"/>
        <v>1+0.00115197896864921i</v>
      </c>
      <c r="U86" s="138">
        <f t="shared" si="14"/>
        <v>41.759908145236849</v>
      </c>
      <c r="V86" s="132">
        <f t="shared" si="15"/>
        <v>164.78564648191653</v>
      </c>
      <c r="W86" s="132">
        <f t="shared" si="16"/>
        <v>59.999916143323084</v>
      </c>
      <c r="X86" s="138">
        <f t="shared" si="17"/>
        <v>-0.2518424015553688</v>
      </c>
      <c r="Y86" s="128" t="str">
        <f t="shared" si="18"/>
        <v>999.980685680433-4.39542251448685i</v>
      </c>
      <c r="Z86" s="128" t="str">
        <f t="shared" si="19"/>
        <v>-1006094756.53798i</v>
      </c>
      <c r="AA86" s="130"/>
      <c r="AB86" s="130"/>
      <c r="AC86" s="130"/>
      <c r="AD86" s="128"/>
      <c r="AE86" s="128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</row>
    <row r="87" spans="1:45" s="166" customFormat="1" x14ac:dyDescent="0.2">
      <c r="A87" s="132">
        <f t="shared" si="0"/>
        <v>56.720999999999997</v>
      </c>
      <c r="B87" s="132">
        <f t="shared" si="20"/>
        <v>1.1400000000000003</v>
      </c>
      <c r="C87" s="138">
        <f t="shared" si="21"/>
        <v>13.803842646028857</v>
      </c>
      <c r="D87" s="137">
        <f t="shared" si="1"/>
        <v>56.72114563749777</v>
      </c>
      <c r="E87" s="132">
        <f t="shared" si="2"/>
        <v>164.08141455136163</v>
      </c>
      <c r="G87" s="138"/>
      <c r="H87" s="184" t="str">
        <f t="shared" si="3"/>
        <v>0.5-52.4079836361172i</v>
      </c>
      <c r="I87" s="132" t="str">
        <f t="shared" si="4"/>
        <v>0.01-262.039918180585i</v>
      </c>
      <c r="J87" s="132" t="str">
        <f t="shared" si="5"/>
        <v>0.347499111683305-43.6738674013156i</v>
      </c>
      <c r="K87" s="132"/>
      <c r="L87" s="132" t="str">
        <f t="shared" si="6"/>
        <v>1.3765340177816-0.0434266947390561i</v>
      </c>
      <c r="M87" s="132" t="str">
        <f t="shared" si="7"/>
        <v>0.009+0.000286215934277287i</v>
      </c>
      <c r="N87" s="132" t="str">
        <f t="shared" si="8"/>
        <v>0.993517026653615-0.000408430613219454i</v>
      </c>
      <c r="O87" s="185">
        <f t="shared" si="9"/>
        <v>-5.649297918342798E-2</v>
      </c>
      <c r="P87" s="185">
        <f t="shared" si="10"/>
        <v>-2.3554049317063171E-2</v>
      </c>
      <c r="Q87" s="132">
        <f t="shared" si="11"/>
        <v>86.732101296147491</v>
      </c>
      <c r="R87" s="132">
        <f t="shared" si="22"/>
        <v>1.1400000000000001</v>
      </c>
      <c r="S87" s="164">
        <f t="shared" si="12"/>
        <v>14.990460760193589</v>
      </c>
      <c r="T87" s="132" t="str">
        <f t="shared" si="13"/>
        <v>1+0.00120627006482682i</v>
      </c>
      <c r="U87" s="138">
        <f t="shared" si="14"/>
        <v>41.730684877304178</v>
      </c>
      <c r="V87" s="132">
        <f t="shared" si="15"/>
        <v>164.10496860067869</v>
      </c>
      <c r="W87" s="132">
        <f t="shared" si="16"/>
        <v>59.999908053067806</v>
      </c>
      <c r="X87" s="138">
        <f t="shared" si="17"/>
        <v>-0.26371120457547464</v>
      </c>
      <c r="Y87" s="128" t="str">
        <f t="shared" si="18"/>
        <v>999.978822309173-4.60256382177029i</v>
      </c>
      <c r="Z87" s="128" t="str">
        <f t="shared" si="19"/>
        <v>-960813033.328813i</v>
      </c>
      <c r="AA87" s="128" t="s">
        <v>143</v>
      </c>
      <c r="AB87" s="128" t="s">
        <v>144</v>
      </c>
      <c r="AC87" s="128" t="s">
        <v>145</v>
      </c>
      <c r="AD87" s="128" t="s">
        <v>146</v>
      </c>
      <c r="AE87" s="128" t="s">
        <v>147</v>
      </c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</row>
    <row r="88" spans="1:45" s="166" customFormat="1" x14ac:dyDescent="0.2">
      <c r="A88" s="132">
        <f t="shared" si="0"/>
        <v>56.689</v>
      </c>
      <c r="B88" s="132">
        <f t="shared" si="20"/>
        <v>1.1600000000000001</v>
      </c>
      <c r="C88" s="138">
        <f t="shared" si="21"/>
        <v>14.454397707459282</v>
      </c>
      <c r="D88" s="137">
        <f t="shared" si="1"/>
        <v>56.689331405486612</v>
      </c>
      <c r="E88" s="132">
        <f t="shared" si="2"/>
        <v>163.37258065246269</v>
      </c>
      <c r="G88" s="138"/>
      <c r="H88" s="184" t="str">
        <f t="shared" si="3"/>
        <v>0.5-50.0492358208244i</v>
      </c>
      <c r="I88" s="132" t="str">
        <f t="shared" si="4"/>
        <v>0.01-250.246179104123i</v>
      </c>
      <c r="J88" s="132" t="str">
        <f t="shared" si="5"/>
        <v>0.347499025980361-41.7082700342797i</v>
      </c>
      <c r="K88" s="132"/>
      <c r="L88" s="132" t="str">
        <f t="shared" si="6"/>
        <v>1.37636875050107-0.0454664385852258i</v>
      </c>
      <c r="M88" s="132" t="str">
        <f t="shared" si="7"/>
        <v>0.009+0.000299704875688807i</v>
      </c>
      <c r="N88" s="132" t="str">
        <f t="shared" si="8"/>
        <v>0.993517478335712-0.000427683391336588i</v>
      </c>
      <c r="O88" s="185">
        <f t="shared" si="9"/>
        <v>-5.6488959497882935E-2</v>
      </c>
      <c r="P88" s="185">
        <f t="shared" si="10"/>
        <v>-2.466433888898956E-2</v>
      </c>
      <c r="Q88" s="132">
        <f t="shared" si="11"/>
        <v>90.81965929963846</v>
      </c>
      <c r="R88" s="132">
        <f t="shared" si="22"/>
        <v>1.1600000000000001</v>
      </c>
      <c r="S88" s="164">
        <f t="shared" si="12"/>
        <v>14.990464779879137</v>
      </c>
      <c r="T88" s="132" t="str">
        <f t="shared" si="13"/>
        <v>1+0.00126311982153937i</v>
      </c>
      <c r="U88" s="138">
        <f t="shared" si="14"/>
        <v>41.698866625607479</v>
      </c>
      <c r="V88" s="132">
        <f t="shared" si="15"/>
        <v>163.39724499135167</v>
      </c>
      <c r="W88" s="132">
        <f t="shared" si="16"/>
        <v>59.999899182296616</v>
      </c>
      <c r="X88" s="138">
        <f t="shared" si="17"/>
        <v>-0.27613934279629082</v>
      </c>
      <c r="Y88" s="128" t="str">
        <f t="shared" si="18"/>
        <v>999.976779171194-4.81946612789228i</v>
      </c>
      <c r="Z88" s="128" t="str">
        <f t="shared" si="19"/>
        <v>-917569323.381784i</v>
      </c>
      <c r="AA88" s="129"/>
      <c r="AB88" s="129"/>
      <c r="AC88" s="129"/>
      <c r="AD88" s="129"/>
      <c r="AE88" s="129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</row>
    <row r="89" spans="1:45" s="166" customFormat="1" x14ac:dyDescent="0.2">
      <c r="A89" s="132">
        <f t="shared" si="0"/>
        <v>56.655000000000001</v>
      </c>
      <c r="B89" s="132">
        <f t="shared" si="20"/>
        <v>1.1800000000000004</v>
      </c>
      <c r="C89" s="138">
        <f t="shared" si="21"/>
        <v>15.135612484362092</v>
      </c>
      <c r="D89" s="137">
        <f t="shared" si="1"/>
        <v>56.654713677328729</v>
      </c>
      <c r="E89" s="132">
        <f t="shared" si="2"/>
        <v>162.63603555682872</v>
      </c>
      <c r="G89" s="138"/>
      <c r="H89" s="184" t="str">
        <f t="shared" si="3"/>
        <v>0.5-47.7966491449259i</v>
      </c>
      <c r="I89" s="132" t="str">
        <f t="shared" si="4"/>
        <v>0.01-238.98324572463i</v>
      </c>
      <c r="J89" s="132" t="str">
        <f t="shared" si="5"/>
        <v>0.347498932008997-39.8311414998839i</v>
      </c>
      <c r="K89" s="132"/>
      <c r="L89" s="132" t="str">
        <f t="shared" si="6"/>
        <v>1.37618759658955-0.0476012938776202i</v>
      </c>
      <c r="M89" s="132" t="str">
        <f t="shared" si="7"/>
        <v>0.009+0.000313829531323796i</v>
      </c>
      <c r="N89" s="132" t="str">
        <f t="shared" si="8"/>
        <v>0.993517973587755-0.000447844122855223i</v>
      </c>
      <c r="O89" s="185">
        <f t="shared" si="9"/>
        <v>-5.6484552065281995E-2</v>
      </c>
      <c r="P89" s="185">
        <f t="shared" si="10"/>
        <v>-2.582698759717331E-2</v>
      </c>
      <c r="Q89" s="132">
        <f t="shared" si="11"/>
        <v>95.099857976907813</v>
      </c>
      <c r="R89" s="132">
        <f t="shared" si="22"/>
        <v>1.1800000000000002</v>
      </c>
      <c r="S89" s="164">
        <f t="shared" si="12"/>
        <v>14.990469187311735</v>
      </c>
      <c r="T89" s="132" t="str">
        <f t="shared" si="13"/>
        <v>1+0.00132264882474283i</v>
      </c>
      <c r="U89" s="138">
        <f t="shared" si="14"/>
        <v>41.664244490016998</v>
      </c>
      <c r="V89" s="132">
        <f t="shared" si="15"/>
        <v>162.6618625444259</v>
      </c>
      <c r="W89" s="132">
        <f t="shared" si="16"/>
        <v>59.999889455710246</v>
      </c>
      <c r="X89" s="138">
        <f t="shared" si="17"/>
        <v>-0.28915317328068518</v>
      </c>
      <c r="Y89" s="128" t="str">
        <f t="shared" si="18"/>
        <v>999.974538924542-5.04658926637861i</v>
      </c>
      <c r="Z89" s="128" t="str">
        <f t="shared" si="19"/>
        <v>-876271900.990311i</v>
      </c>
      <c r="AA89" s="128" t="str">
        <f t="shared" ref="AA89:AA152" si="23">IMSUM(R_3,IMDIV(1,COMPLEX(0,2*PI()*C80*C_2*10^-12)))</f>
        <v>64900-72343155.9508615i</v>
      </c>
      <c r="AB89" s="128" t="str">
        <f t="shared" ref="AB89:AB152" si="24">IMSUM(R_2,IMDIV(1,COMPLEX(0,2*PI()*C80*C_1*10^-12)))</f>
        <v>5900-132629119.243246i</v>
      </c>
      <c r="AC89" s="128" t="str">
        <f t="shared" ref="AC89:AC152" si="25">IMDIV(IMPRODUCT(Z80,AA89),IMSUM(Z80,AA89))</f>
        <v>58359.839351154-68601271.2821299i</v>
      </c>
      <c r="AD89" s="128" t="str">
        <f t="shared" ref="AD89:AD152" si="26">IMDIV(IMPRODUCT(AB89,R_1),IMSUM(AB89,R_1))</f>
        <v>109999.920275702-91.2317809919414i</v>
      </c>
      <c r="AE89" s="128" t="str">
        <f t="shared" ref="AE89:AE152" si="27">IMDIV(IMPRODUCT(-1,Y80),IMSUM(1,IMDIV(AD89,R_4),IMPRODUCT(IMDIV(AD89,AC89),IMSUM(1,Y80))))</f>
        <v>-121.755736077168+25.1252269871687i</v>
      </c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</row>
    <row r="90" spans="1:45" s="166" customFormat="1" x14ac:dyDescent="0.2">
      <c r="A90" s="132">
        <f t="shared" si="0"/>
        <v>56.616999999999997</v>
      </c>
      <c r="B90" s="132">
        <f t="shared" si="20"/>
        <v>1.2000000000000002</v>
      </c>
      <c r="C90" s="138">
        <f t="shared" si="21"/>
        <v>15.848931924611144</v>
      </c>
      <c r="D90" s="137">
        <f t="shared" si="1"/>
        <v>56.617070687781833</v>
      </c>
      <c r="E90" s="132">
        <f t="shared" si="2"/>
        <v>161.87121339632498</v>
      </c>
      <c r="G90" s="138"/>
      <c r="H90" s="184" t="str">
        <f t="shared" si="3"/>
        <v>0.5-45.645445570072i</v>
      </c>
      <c r="I90" s="132" t="str">
        <f t="shared" si="4"/>
        <v>0.01-228.22722785036i</v>
      </c>
      <c r="J90" s="132" t="str">
        <f t="shared" si="5"/>
        <v>0.347498828971511-38.0385001568308i</v>
      </c>
      <c r="K90" s="132"/>
      <c r="L90" s="132" t="str">
        <f t="shared" si="6"/>
        <v>1.37598903504144-0.0498355928087243i</v>
      </c>
      <c r="M90" s="132" t="str">
        <f t="shared" si="7"/>
        <v>0.009+0.00032861986147058i</v>
      </c>
      <c r="N90" s="132" t="str">
        <f t="shared" si="8"/>
        <v>0.993518516611774-0.000468955686865902i</v>
      </c>
      <c r="O90" s="185">
        <f t="shared" si="9"/>
        <v>-5.6479719489598484E-2</v>
      </c>
      <c r="P90" s="185">
        <f t="shared" si="10"/>
        <v>-2.7044467910109393E-2</v>
      </c>
      <c r="Q90" s="132">
        <f t="shared" si="11"/>
        <v>99.581776203206218</v>
      </c>
      <c r="R90" s="132">
        <f t="shared" si="22"/>
        <v>1.2000000000000002</v>
      </c>
      <c r="S90" s="164">
        <f t="shared" si="12"/>
        <v>14.990474019887419</v>
      </c>
      <c r="T90" s="132" t="str">
        <f t="shared" si="13"/>
        <v>1+0.00138498334343419i</v>
      </c>
      <c r="U90" s="138">
        <f t="shared" si="14"/>
        <v>41.626596667894418</v>
      </c>
      <c r="V90" s="132">
        <f t="shared" si="15"/>
        <v>161.89825786423509</v>
      </c>
      <c r="W90" s="132">
        <f t="shared" si="16"/>
        <v>59.999878790745392</v>
      </c>
      <c r="X90" s="138">
        <f t="shared" si="17"/>
        <v>-0.30278029472933898</v>
      </c>
      <c r="Y90" s="128" t="str">
        <f t="shared" si="18"/>
        <v>999.972082554466-5.28441471416491i</v>
      </c>
      <c r="Z90" s="128" t="str">
        <f t="shared" si="19"/>
        <v>-836833168.784657i</v>
      </c>
      <c r="AA90" s="128" t="str">
        <f t="shared" si="23"/>
        <v>64900-69087177.5824651i</v>
      </c>
      <c r="AB90" s="128" t="str">
        <f t="shared" si="24"/>
        <v>5900-126659825.567853i</v>
      </c>
      <c r="AC90" s="128" t="str">
        <f t="shared" si="25"/>
        <v>58359.8393390303-65513705.7155864i</v>
      </c>
      <c r="AD90" s="128" t="str">
        <f t="shared" si="26"/>
        <v>109999.912584052-95.5313953279488i</v>
      </c>
      <c r="AE90" s="128" t="str">
        <f t="shared" si="27"/>
        <v>-121.27417451793+26.2044115121872i</v>
      </c>
      <c r="AF90" s="130"/>
      <c r="AG90" s="130"/>
      <c r="AH90" s="130"/>
      <c r="AI90" s="130"/>
      <c r="AJ90" s="130"/>
      <c r="AK90" s="130"/>
      <c r="AL90" s="130"/>
      <c r="AM90" s="130"/>
      <c r="AN90" s="130"/>
      <c r="AO90" s="130"/>
      <c r="AP90" s="130"/>
      <c r="AQ90" s="130"/>
      <c r="AR90" s="130"/>
      <c r="AS90" s="130"/>
    </row>
    <row r="91" spans="1:45" s="166" customFormat="1" x14ac:dyDescent="0.2">
      <c r="A91" s="132">
        <f t="shared" si="0"/>
        <v>56.576000000000001</v>
      </c>
      <c r="B91" s="132">
        <f t="shared" si="20"/>
        <v>1.2200000000000004</v>
      </c>
      <c r="C91" s="138">
        <f t="shared" si="21"/>
        <v>16.595869074375621</v>
      </c>
      <c r="D91" s="137">
        <f t="shared" si="1"/>
        <v>56.576167680983559</v>
      </c>
      <c r="E91" s="132">
        <f t="shared" si="2"/>
        <v>161.0776076788396</v>
      </c>
      <c r="G91" s="138"/>
      <c r="H91" s="184" t="str">
        <f t="shared" si="3"/>
        <v>0.5-43.5910621050637i</v>
      </c>
      <c r="I91" s="132" t="str">
        <f t="shared" si="4"/>
        <v>0.01-217.955310525319i</v>
      </c>
      <c r="J91" s="132" t="str">
        <f t="shared" si="5"/>
        <v>0.347498715993223-36.3265435724841i</v>
      </c>
      <c r="K91" s="132"/>
      <c r="L91" s="132" t="str">
        <f t="shared" si="6"/>
        <v>1.37577140046419-0.0521738496466597i</v>
      </c>
      <c r="M91" s="132" t="str">
        <f t="shared" si="7"/>
        <v>0.009+0.000344107238402377i</v>
      </c>
      <c r="N91" s="132" t="str">
        <f t="shared" si="8"/>
        <v>0.993519112014892-0.0004910629964046i</v>
      </c>
      <c r="O91" s="185">
        <f t="shared" si="9"/>
        <v>-5.6474420769599652E-2</v>
      </c>
      <c r="P91" s="185">
        <f t="shared" si="10"/>
        <v>-2.8319369539640028E-2</v>
      </c>
      <c r="Q91" s="132">
        <f t="shared" si="11"/>
        <v>104.27492072799298</v>
      </c>
      <c r="R91" s="132">
        <f t="shared" si="22"/>
        <v>1.2200000000000002</v>
      </c>
      <c r="S91" s="164">
        <f t="shared" si="12"/>
        <v>14.990479318607417</v>
      </c>
      <c r="T91" s="132" t="str">
        <f t="shared" si="13"/>
        <v>1+0.00145025559748493i</v>
      </c>
      <c r="U91" s="138">
        <f t="shared" si="14"/>
        <v>41.585688362376146</v>
      </c>
      <c r="V91" s="132">
        <f t="shared" si="15"/>
        <v>161.10592704837924</v>
      </c>
      <c r="W91" s="132">
        <f t="shared" si="16"/>
        <v>59.999867096874084</v>
      </c>
      <c r="X91" s="138">
        <f t="shared" si="17"/>
        <v>-0.31704960591848613</v>
      </c>
      <c r="Y91" s="128" t="str">
        <f t="shared" si="18"/>
        <v>999.969389212103-5.53344660748991i</v>
      </c>
      <c r="Z91" s="128" t="str">
        <f t="shared" si="19"/>
        <v>-799169471.926167i</v>
      </c>
      <c r="AA91" s="128" t="str">
        <f t="shared" si="23"/>
        <v>64900-65977742.3804007i</v>
      </c>
      <c r="AB91" s="128" t="str">
        <f t="shared" si="24"/>
        <v>5900-120959194.364068i</v>
      </c>
      <c r="AC91" s="128" t="str">
        <f t="shared" si="25"/>
        <v>58359.8393257374-62565103.5024422i</v>
      </c>
      <c r="AD91" s="128" t="str">
        <f t="shared" si="26"/>
        <v>109999.904150327-100.033643202053i</v>
      </c>
      <c r="AE91" s="128" t="str">
        <f t="shared" si="27"/>
        <v>-120.750548532232+27.3199135036607i</v>
      </c>
      <c r="AF91" s="130"/>
      <c r="AG91" s="130"/>
      <c r="AH91" s="130"/>
      <c r="AI91" s="130"/>
      <c r="AJ91" s="130"/>
      <c r="AK91" s="130"/>
      <c r="AL91" s="130"/>
      <c r="AM91" s="130"/>
      <c r="AN91" s="130"/>
      <c r="AO91" s="130"/>
      <c r="AP91" s="130"/>
      <c r="AQ91" s="130"/>
      <c r="AR91" s="130"/>
      <c r="AS91" s="130"/>
    </row>
    <row r="92" spans="1:45" s="166" customFormat="1" x14ac:dyDescent="0.2">
      <c r="A92" s="132">
        <f t="shared" si="0"/>
        <v>56.531999999999996</v>
      </c>
      <c r="B92" s="132">
        <f t="shared" si="20"/>
        <v>1.2400000000000002</v>
      </c>
      <c r="C92" s="138">
        <f t="shared" si="21"/>
        <v>17.378008287493763</v>
      </c>
      <c r="D92" s="137">
        <f t="shared" si="1"/>
        <v>56.531756961849482</v>
      </c>
      <c r="E92" s="132">
        <f t="shared" si="2"/>
        <v>160.25478179637204</v>
      </c>
      <c r="G92" s="138"/>
      <c r="H92" s="184" t="str">
        <f t="shared" si="3"/>
        <v>0.5-41.6291411271359i</v>
      </c>
      <c r="I92" s="132" t="str">
        <f t="shared" si="4"/>
        <v>0.01-208.145705635679i</v>
      </c>
      <c r="J92" s="132" t="str">
        <f t="shared" si="5"/>
        <v>0.347498592115082-34.6916404573968i</v>
      </c>
      <c r="K92" s="132"/>
      <c r="L92" s="132" t="str">
        <f t="shared" si="6"/>
        <v>1.3755328696213-0.054620766086325i</v>
      </c>
      <c r="M92" s="132" t="str">
        <f t="shared" si="7"/>
        <v>0.009+0.000360324512922085i</v>
      </c>
      <c r="N92" s="132" t="str">
        <f t="shared" si="8"/>
        <v>0.99351976484835-0.000514213096251609i</v>
      </c>
      <c r="O92" s="185">
        <f t="shared" si="9"/>
        <v>-5.6468610951499777E-2</v>
      </c>
      <c r="P92" s="185">
        <f t="shared" si="10"/>
        <v>-2.965440507298828E-2</v>
      </c>
      <c r="Q92" s="132">
        <f t="shared" si="11"/>
        <v>109.1892463400259</v>
      </c>
      <c r="R92" s="132">
        <f t="shared" si="22"/>
        <v>1.2400000000000002</v>
      </c>
      <c r="S92" s="164">
        <f t="shared" si="12"/>
        <v>14.990485128425517</v>
      </c>
      <c r="T92" s="132" t="str">
        <f t="shared" si="13"/>
        <v>1+0.00151860403809708i</v>
      </c>
      <c r="U92" s="138">
        <f t="shared" si="14"/>
        <v>41.541271833423963</v>
      </c>
      <c r="V92" s="132">
        <f t="shared" si="15"/>
        <v>160.28443620144503</v>
      </c>
      <c r="W92" s="132">
        <f t="shared" si="16"/>
        <v>59.999854274835357</v>
      </c>
      <c r="X92" s="138">
        <f t="shared" si="17"/>
        <v>-0.33199136688004693</v>
      </c>
      <c r="Y92" s="128" t="str">
        <f t="shared" si="18"/>
        <v>999.966436037598-5.79421280505441i</v>
      </c>
      <c r="Z92" s="128" t="str">
        <f t="shared" si="19"/>
        <v>-763200920.664159i</v>
      </c>
      <c r="AA92" s="128" t="str">
        <f t="shared" si="23"/>
        <v>64900-63008254.8157147i</v>
      </c>
      <c r="AB92" s="128" t="str">
        <f t="shared" si="24"/>
        <v>5900-115515133.828811i</v>
      </c>
      <c r="AC92" s="128" t="str">
        <f t="shared" si="25"/>
        <v>58359.8393111621-59749210.2620756i</v>
      </c>
      <c r="AD92" s="128" t="str">
        <f t="shared" si="26"/>
        <v>109999.894902932-104.748074284202i</v>
      </c>
      <c r="AE92" s="128" t="str">
        <f t="shared" si="27"/>
        <v>-120.181620028834+28.4715331950778i</v>
      </c>
      <c r="AF92" s="130"/>
      <c r="AG92" s="130"/>
      <c r="AH92" s="130"/>
      <c r="AI92" s="130"/>
      <c r="AJ92" s="130"/>
      <c r="AK92" s="130"/>
      <c r="AL92" s="130"/>
      <c r="AM92" s="130"/>
      <c r="AN92" s="130"/>
      <c r="AO92" s="130"/>
      <c r="AP92" s="130"/>
      <c r="AQ92" s="130"/>
      <c r="AR92" s="130"/>
      <c r="AS92" s="130"/>
    </row>
    <row r="93" spans="1:45" s="166" customFormat="1" x14ac:dyDescent="0.2">
      <c r="A93" s="132">
        <f t="shared" si="0"/>
        <v>56.484000000000002</v>
      </c>
      <c r="B93" s="132">
        <f t="shared" si="20"/>
        <v>1.2600000000000002</v>
      </c>
      <c r="C93" s="138">
        <f t="shared" si="21"/>
        <v>18.197008586099848</v>
      </c>
      <c r="D93" s="137">
        <f t="shared" si="1"/>
        <v>56.483578115445738</v>
      </c>
      <c r="E93" s="132">
        <f t="shared" si="2"/>
        <v>159.4023802066898</v>
      </c>
      <c r="G93" s="138"/>
      <c r="H93" s="184" t="str">
        <f t="shared" si="3"/>
        <v>0.5-39.7555211388549i</v>
      </c>
      <c r="I93" s="132" t="str">
        <f t="shared" si="4"/>
        <v>0.01-198.777605694274i</v>
      </c>
      <c r="J93" s="132" t="str">
        <f t="shared" si="5"/>
        <v>0.347498456285506-33.1303229628599i</v>
      </c>
      <c r="K93" s="132"/>
      <c r="L93" s="132" t="str">
        <f t="shared" si="6"/>
        <v>1.37527144677155-0.0571812363854033i</v>
      </c>
      <c r="M93" s="132" t="str">
        <f t="shared" si="7"/>
        <v>0.009+0.000377306084043251i</v>
      </c>
      <c r="N93" s="132" t="str">
        <f t="shared" si="8"/>
        <v>0.99352048065028-0.000538455265626819i</v>
      </c>
      <c r="O93" s="185">
        <f t="shared" si="9"/>
        <v>-5.6462240748288817E-2</v>
      </c>
      <c r="P93" s="185">
        <f t="shared" si="10"/>
        <v>-3.1052415885978058E-2</v>
      </c>
      <c r="Q93" s="132">
        <f t="shared" si="11"/>
        <v>114.33517698280335</v>
      </c>
      <c r="R93" s="132">
        <f t="shared" si="22"/>
        <v>1.2600000000000002</v>
      </c>
      <c r="S93" s="164">
        <f t="shared" si="12"/>
        <v>14.990491498628728</v>
      </c>
      <c r="T93" s="132" t="str">
        <f t="shared" si="13"/>
        <v>1+0.00159017364147683i</v>
      </c>
      <c r="U93" s="138">
        <f t="shared" si="14"/>
        <v>41.49308661681701</v>
      </c>
      <c r="V93" s="132">
        <f t="shared" si="15"/>
        <v>159.43343262257576</v>
      </c>
      <c r="W93" s="132">
        <f t="shared" si="16"/>
        <v>59.999840215792958</v>
      </c>
      <c r="X93" s="138">
        <f t="shared" si="17"/>
        <v>-0.34763726295169378</v>
      </c>
      <c r="Y93" s="128" t="str">
        <f t="shared" si="18"/>
        <v>999.963197966186-6.06726600058346i</v>
      </c>
      <c r="Z93" s="128" t="str">
        <f t="shared" si="19"/>
        <v>-728851220.879005i</v>
      </c>
      <c r="AA93" s="128" t="str">
        <f t="shared" si="23"/>
        <v>64900-60172416.207157i</v>
      </c>
      <c r="AB93" s="128" t="str">
        <f t="shared" si="24"/>
        <v>5900-110316096.379788i</v>
      </c>
      <c r="AC93" s="128" t="str">
        <f t="shared" si="25"/>
        <v>58359.83929518-57060053.1073908i</v>
      </c>
      <c r="AD93" s="128" t="str">
        <f t="shared" si="26"/>
        <v>109999.884763368-109.684688283544i</v>
      </c>
      <c r="AE93" s="128" t="str">
        <f t="shared" si="27"/>
        <v>-119.563984131767+29.6588353608509i</v>
      </c>
      <c r="AF93" s="130"/>
      <c r="AG93" s="130"/>
      <c r="AH93" s="130"/>
      <c r="AI93" s="130"/>
      <c r="AJ93" s="130"/>
      <c r="AK93" s="130"/>
      <c r="AL93" s="130"/>
      <c r="AM93" s="130"/>
      <c r="AN93" s="130"/>
      <c r="AO93" s="130"/>
      <c r="AP93" s="130"/>
      <c r="AQ93" s="130"/>
      <c r="AR93" s="130"/>
      <c r="AS93" s="130"/>
    </row>
    <row r="94" spans="1:45" s="166" customFormat="1" x14ac:dyDescent="0.2">
      <c r="A94" s="132">
        <f t="shared" si="0"/>
        <v>56.430999999999997</v>
      </c>
      <c r="B94" s="132">
        <f t="shared" si="20"/>
        <v>1.2800000000000002</v>
      </c>
      <c r="C94" s="138">
        <f t="shared" si="21"/>
        <v>19.054607179632484</v>
      </c>
      <c r="D94" s="137">
        <f t="shared" si="1"/>
        <v>56.431358420413936</v>
      </c>
      <c r="E94" s="132">
        <f t="shared" si="2"/>
        <v>158.52014019754355</v>
      </c>
      <c r="G94" s="138"/>
      <c r="H94" s="184" t="str">
        <f t="shared" si="3"/>
        <v>0.5-37.9662279410248i</v>
      </c>
      <c r="I94" s="132" t="str">
        <f t="shared" si="4"/>
        <v>0.01-189.831139705124i</v>
      </c>
      <c r="J94" s="132" t="str">
        <f t="shared" si="5"/>
        <v>0.347498307351463-31.6392793251307i</v>
      </c>
      <c r="K94" s="132"/>
      <c r="L94" s="132" t="str">
        <f t="shared" si="6"/>
        <v>1.37498494770724-0.0598603522087188i</v>
      </c>
      <c r="M94" s="132" t="str">
        <f t="shared" si="7"/>
        <v>0.009+0.00039508797195498i</v>
      </c>
      <c r="N94" s="132" t="str">
        <f t="shared" si="8"/>
        <v>0.993521265492587-0.00056384112605482i</v>
      </c>
      <c r="O94" s="185">
        <f t="shared" si="9"/>
        <v>-5.6455256122452495E-2</v>
      </c>
      <c r="P94" s="185">
        <f t="shared" si="10"/>
        <v>-3.2516378353032498E-2</v>
      </c>
      <c r="Q94" s="132">
        <f t="shared" si="11"/>
        <v>119.72362786514547</v>
      </c>
      <c r="R94" s="132">
        <f t="shared" si="22"/>
        <v>1.2800000000000002</v>
      </c>
      <c r="S94" s="164">
        <f t="shared" si="12"/>
        <v>14.990498483254564</v>
      </c>
      <c r="T94" s="132" t="str">
        <f t="shared" si="13"/>
        <v>1+0.00166511621634844i</v>
      </c>
      <c r="U94" s="138">
        <f t="shared" si="14"/>
        <v>41.440859937159374</v>
      </c>
      <c r="V94" s="132">
        <f t="shared" si="15"/>
        <v>158.55265657589658</v>
      </c>
      <c r="W94" s="132">
        <f t="shared" si="16"/>
        <v>59.999824800411837</v>
      </c>
      <c r="X94" s="138">
        <f t="shared" si="17"/>
        <v>-0.36402047183009806</v>
      </c>
      <c r="Y94" s="128" t="str">
        <f t="shared" si="18"/>
        <v>999.959647515582-6.35318488701568i</v>
      </c>
      <c r="Z94" s="128" t="str">
        <f t="shared" si="19"/>
        <v>-696047512.25212i</v>
      </c>
      <c r="AA94" s="128" t="str">
        <f t="shared" si="23"/>
        <v>64900-57464211.3608311i</v>
      </c>
      <c r="AB94" s="128" t="str">
        <f t="shared" si="24"/>
        <v>5900-105351054.161524i</v>
      </c>
      <c r="AC94" s="128" t="str">
        <f t="shared" si="25"/>
        <v>58359.8392776566-54491927.975522i</v>
      </c>
      <c r="AD94" s="128" t="str">
        <f t="shared" si="26"/>
        <v>109999.873645559-114.853956154711i</v>
      </c>
      <c r="AE94" s="128" t="str">
        <f t="shared" si="27"/>
        <v>-118.894076767202+30.8811174947072i</v>
      </c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</row>
    <row r="95" spans="1:45" s="166" customFormat="1" x14ac:dyDescent="0.2">
      <c r="A95" s="132">
        <f t="shared" si="0"/>
        <v>56.375</v>
      </c>
      <c r="B95" s="132">
        <f t="shared" si="20"/>
        <v>1.3000000000000005</v>
      </c>
      <c r="C95" s="138">
        <f t="shared" si="21"/>
        <v>19.952623149688815</v>
      </c>
      <c r="D95" s="137">
        <f t="shared" si="1"/>
        <v>56.374813482714416</v>
      </c>
      <c r="E95" s="132">
        <f t="shared" si="2"/>
        <v>157.60790410776912</v>
      </c>
      <c r="G95" s="138"/>
      <c r="H95" s="184" t="str">
        <f t="shared" si="3"/>
        <v>0.5-36.2574662028786i</v>
      </c>
      <c r="I95" s="132" t="str">
        <f t="shared" si="4"/>
        <v>0.01-181.287331014393i</v>
      </c>
      <c r="J95" s="132" t="str">
        <f t="shared" si="5"/>
        <v>0.347498144048682-30.215346840738i</v>
      </c>
      <c r="K95" s="132"/>
      <c r="L95" s="132" t="str">
        <f t="shared" si="6"/>
        <v>1.37467098238825-0.0626634070917304i</v>
      </c>
      <c r="M95" s="132" t="str">
        <f t="shared" si="7"/>
        <v>0.009+0.000413707894425593i</v>
      </c>
      <c r="N95" s="132" t="str">
        <f t="shared" si="8"/>
        <v>0.993522126032338-0.000590424754691699i</v>
      </c>
      <c r="O95" s="185">
        <f t="shared" si="9"/>
        <v>-5.6447597828600898E-2</v>
      </c>
      <c r="P95" s="185">
        <f t="shared" si="10"/>
        <v>-3.404941037058104E-2</v>
      </c>
      <c r="Q95" s="132">
        <f t="shared" si="11"/>
        <v>125.36602861381604</v>
      </c>
      <c r="R95" s="132">
        <f t="shared" si="22"/>
        <v>1.3000000000000003</v>
      </c>
      <c r="S95" s="164">
        <f t="shared" si="12"/>
        <v>14.990506141548416</v>
      </c>
      <c r="T95" s="132" t="str">
        <f t="shared" si="13"/>
        <v>1+0.00174359072596095i</v>
      </c>
      <c r="U95" s="138">
        <f t="shared" si="14"/>
        <v>41.384307341166</v>
      </c>
      <c r="V95" s="132">
        <f t="shared" si="15"/>
        <v>157.6419535181397</v>
      </c>
      <c r="W95" s="132">
        <f t="shared" si="16"/>
        <v>59.999807897845436</v>
      </c>
      <c r="X95" s="138">
        <f t="shared" si="17"/>
        <v>-0.38117573376663066</v>
      </c>
      <c r="Y95" s="128" t="str">
        <f t="shared" si="18"/>
        <v>999.955754552877-6.65257537463373i</v>
      </c>
      <c r="Z95" s="128" t="str">
        <f t="shared" si="19"/>
        <v>-664720213.719442i</v>
      </c>
      <c r="AA95" s="128" t="str">
        <f t="shared" si="23"/>
        <v>64900-54877895.8111626i</v>
      </c>
      <c r="AB95" s="128" t="str">
        <f t="shared" si="24"/>
        <v>5900-100609475.653798i</v>
      </c>
      <c r="AC95" s="128" t="str">
        <f t="shared" si="25"/>
        <v>58359.8392584424-52039387.5287493i</v>
      </c>
      <c r="AD95" s="128" t="str">
        <f t="shared" si="26"/>
        <v>109999.861455127-120.266842303064i</v>
      </c>
      <c r="AE95" s="128" t="str">
        <f t="shared" si="27"/>
        <v>-118.168186204853+32.1373760437756i</v>
      </c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</row>
    <row r="96" spans="1:45" s="166" customFormat="1" x14ac:dyDescent="0.2">
      <c r="A96" s="132">
        <f t="shared" si="0"/>
        <v>56.314</v>
      </c>
      <c r="B96" s="132">
        <f t="shared" si="20"/>
        <v>1.3200000000000005</v>
      </c>
      <c r="C96" s="138">
        <f t="shared" si="21"/>
        <v>20.892961308540418</v>
      </c>
      <c r="D96" s="137">
        <f t="shared" si="1"/>
        <v>56.313648115200991</v>
      </c>
      <c r="E96" s="132">
        <f t="shared" si="2"/>
        <v>156.66563184129433</v>
      </c>
      <c r="G96" s="138"/>
      <c r="H96" s="184" t="str">
        <f t="shared" si="3"/>
        <v>0.5-34.6256114116718i</v>
      </c>
      <c r="I96" s="132" t="str">
        <f t="shared" si="4"/>
        <v>0.01-173.128057058359i</v>
      </c>
      <c r="J96" s="132" t="str">
        <f t="shared" si="5"/>
        <v>0.347497964990926-28.8555051579626i</v>
      </c>
      <c r="K96" s="132"/>
      <c r="L96" s="132" t="str">
        <f t="shared" si="6"/>
        <v>1.3743269360633-0.0655959004194524i</v>
      </c>
      <c r="M96" s="132" t="str">
        <f t="shared" si="7"/>
        <v>0.009+0.000433205346807066i</v>
      </c>
      <c r="N96" s="132" t="str">
        <f t="shared" si="8"/>
        <v>0.993523069568093-0.000618262803428185i</v>
      </c>
      <c r="O96" s="185">
        <f t="shared" si="9"/>
        <v>-5.6439200912088178E-2</v>
      </c>
      <c r="P96" s="185">
        <f t="shared" si="10"/>
        <v>-3.5654778211788384E-2</v>
      </c>
      <c r="Q96" s="132">
        <f t="shared" si="11"/>
        <v>131.27434751729274</v>
      </c>
      <c r="R96" s="132">
        <f t="shared" si="22"/>
        <v>1.3200000000000003</v>
      </c>
      <c r="S96" s="164">
        <f t="shared" si="12"/>
        <v>14.990514538464927</v>
      </c>
      <c r="T96" s="132" t="str">
        <f t="shared" si="13"/>
        <v>1+0.00182576362527051i</v>
      </c>
      <c r="U96" s="138">
        <f t="shared" si="14"/>
        <v>41.323133576736062</v>
      </c>
      <c r="V96" s="132">
        <f t="shared" si="15"/>
        <v>156.70128661950611</v>
      </c>
      <c r="W96" s="132">
        <f t="shared" si="16"/>
        <v>59.999789364625535</v>
      </c>
      <c r="X96" s="138">
        <f t="shared" si="17"/>
        <v>-0.39913942505097777</v>
      </c>
      <c r="Y96" s="128" t="str">
        <f t="shared" si="18"/>
        <v>999.951486038982-6.96607186554083i</v>
      </c>
      <c r="Z96" s="128" t="str">
        <f t="shared" si="19"/>
        <v>-634802875.880651i</v>
      </c>
      <c r="AA96" s="128" t="str">
        <f t="shared" si="23"/>
        <v>64900-52407983.6361172i</v>
      </c>
      <c r="AB96" s="128" t="str">
        <f t="shared" si="24"/>
        <v>5900-96081303.3328813i</v>
      </c>
      <c r="AC96" s="128" t="str">
        <f t="shared" si="25"/>
        <v>58359.8392373742-49697229.599967i</v>
      </c>
      <c r="AD96" s="128" t="str">
        <f t="shared" si="26"/>
        <v>109999.848088587-125.934827835816i</v>
      </c>
      <c r="AE96" s="128" t="str">
        <f t="shared" si="27"/>
        <v>-117.382469193698+33.4262710043231i</v>
      </c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</row>
    <row r="97" spans="1:45" s="166" customFormat="1" x14ac:dyDescent="0.2">
      <c r="A97" s="132">
        <f t="shared" si="0"/>
        <v>56.247999999999998</v>
      </c>
      <c r="B97" s="132">
        <f t="shared" si="20"/>
        <v>1.3400000000000005</v>
      </c>
      <c r="C97" s="138">
        <f t="shared" si="21"/>
        <v>21.877616239495548</v>
      </c>
      <c r="D97" s="137">
        <f t="shared" si="1"/>
        <v>56.247557486643643</v>
      </c>
      <c r="E97" s="132">
        <f t="shared" si="2"/>
        <v>155.69341346902402</v>
      </c>
      <c r="G97" s="138"/>
      <c r="H97" s="184" t="str">
        <f t="shared" si="3"/>
        <v>0.5-33.0672021846059i</v>
      </c>
      <c r="I97" s="132" t="str">
        <f t="shared" si="4"/>
        <v>0.01-165.336010923029i</v>
      </c>
      <c r="J97" s="132" t="str">
        <f t="shared" si="5"/>
        <v>0.347497768658219-27.5568698702674i</v>
      </c>
      <c r="K97" s="132"/>
      <c r="L97" s="132" t="str">
        <f t="shared" si="6"/>
        <v>1.37394994876476-0.0686635408006632i</v>
      </c>
      <c r="M97" s="132" t="str">
        <f t="shared" si="7"/>
        <v>0.009+0.000453621685809969i</v>
      </c>
      <c r="N97" s="132" t="str">
        <f t="shared" si="8"/>
        <v>0.99352410410163-0.000647414624103861i</v>
      </c>
      <c r="O97" s="185">
        <f t="shared" si="9"/>
        <v>-5.6429994159618024E-2</v>
      </c>
      <c r="P97" s="185">
        <f t="shared" si="10"/>
        <v>-3.7335903731642708E-2</v>
      </c>
      <c r="Q97" s="132">
        <f t="shared" si="11"/>
        <v>137.46111691211195</v>
      </c>
      <c r="R97" s="132">
        <f t="shared" si="22"/>
        <v>1.3400000000000003</v>
      </c>
      <c r="S97" s="164">
        <f t="shared" si="12"/>
        <v>14.990523745217398</v>
      </c>
      <c r="T97" s="132" t="str">
        <f t="shared" si="13"/>
        <v>1+0.00191180921401365i</v>
      </c>
      <c r="U97" s="138">
        <f t="shared" si="14"/>
        <v>41.257033741426241</v>
      </c>
      <c r="V97" s="132">
        <f t="shared" si="15"/>
        <v>155.73074937275567</v>
      </c>
      <c r="W97" s="132">
        <f t="shared" si="16"/>
        <v>59.9997690434449</v>
      </c>
      <c r="X97" s="138">
        <f t="shared" si="17"/>
        <v>-0.4179496349346476</v>
      </c>
      <c r="Y97" s="128" t="str">
        <f t="shared" si="18"/>
        <v>999.946805748438-7.29433858698185i</v>
      </c>
      <c r="Z97" s="128" t="str">
        <f t="shared" si="19"/>
        <v>-606232040.051108i</v>
      </c>
      <c r="AA97" s="128" t="str">
        <f t="shared" si="23"/>
        <v>64900-50049235.8208244i</v>
      </c>
      <c r="AB97" s="128" t="str">
        <f t="shared" si="24"/>
        <v>5900-91756932.3381784i</v>
      </c>
      <c r="AC97" s="128" t="str">
        <f t="shared" si="25"/>
        <v>58359.8392142736-47460486.1581896i</v>
      </c>
      <c r="AD97" s="128" t="str">
        <f t="shared" si="26"/>
        <v>109999.833432471-131.869934908328i</v>
      </c>
      <c r="AE97" s="128" t="str">
        <f t="shared" si="27"/>
        <v>-116.532972359075+34.746089314471i</v>
      </c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</row>
    <row r="98" spans="1:45" s="166" customFormat="1" x14ac:dyDescent="0.2">
      <c r="A98" s="132">
        <f t="shared" si="0"/>
        <v>56.176000000000002</v>
      </c>
      <c r="B98" s="132">
        <f t="shared" si="20"/>
        <v>1.3600000000000005</v>
      </c>
      <c r="C98" s="138">
        <f t="shared" si="21"/>
        <v>22.908676527677759</v>
      </c>
      <c r="D98" s="137">
        <f t="shared" si="1"/>
        <v>56.176228560568418</v>
      </c>
      <c r="E98" s="132">
        <f t="shared" si="2"/>
        <v>154.69148167113244</v>
      </c>
      <c r="G98" s="138"/>
      <c r="H98" s="184" t="str">
        <f t="shared" si="3"/>
        <v>0.5-31.5789329267704i</v>
      </c>
      <c r="I98" s="132" t="str">
        <f t="shared" si="4"/>
        <v>0.01-157.894664633852i</v>
      </c>
      <c r="J98" s="132" t="str">
        <f t="shared" si="5"/>
        <v>0.347497553383949-26.3166863980834i</v>
      </c>
      <c r="K98" s="132"/>
      <c r="L98" s="132" t="str">
        <f t="shared" si="6"/>
        <v>1.3735368930582-0.0718722486986093i</v>
      </c>
      <c r="M98" s="132" t="str">
        <f t="shared" si="7"/>
        <v>0.009+0.000475000217226595i</v>
      </c>
      <c r="N98" s="132" t="str">
        <f t="shared" si="8"/>
        <v>0.993525238405612-0.000677942400195573i</v>
      </c>
      <c r="O98" s="185">
        <f t="shared" si="9"/>
        <v>-5.6419899496953807E-2</v>
      </c>
      <c r="P98" s="185">
        <f t="shared" si="10"/>
        <v>-3.9096371943037528E-2</v>
      </c>
      <c r="Q98" s="132">
        <f t="shared" si="11"/>
        <v>143.93945976563475</v>
      </c>
      <c r="R98" s="132">
        <f t="shared" si="22"/>
        <v>1.3600000000000003</v>
      </c>
      <c r="S98" s="164">
        <f t="shared" si="12"/>
        <v>14.990533839880062</v>
      </c>
      <c r="T98" s="132" t="str">
        <f t="shared" si="13"/>
        <v>1+0.00200191000642045i</v>
      </c>
      <c r="U98" s="138">
        <f t="shared" si="14"/>
        <v>41.18569472068836</v>
      </c>
      <c r="V98" s="132">
        <f t="shared" si="15"/>
        <v>154.73057804307547</v>
      </c>
      <c r="W98" s="132">
        <f t="shared" si="16"/>
        <v>59.999746761822699</v>
      </c>
      <c r="X98" s="138">
        <f t="shared" si="17"/>
        <v>-0.43764624615300812</v>
      </c>
      <c r="Y98" s="128" t="str">
        <f t="shared" si="18"/>
        <v>999.941673962246-7.63807098610133i</v>
      </c>
      <c r="Z98" s="128" t="str">
        <f t="shared" si="19"/>
        <v>-578947103.657456i</v>
      </c>
      <c r="AA98" s="128" t="str">
        <f t="shared" si="23"/>
        <v>64900-47796649.1449259i</v>
      </c>
      <c r="AB98" s="128" t="str">
        <f t="shared" si="24"/>
        <v>5900-87627190.0990311i</v>
      </c>
      <c r="AC98" s="128" t="str">
        <f t="shared" si="25"/>
        <v>58359.8391889442-45324412.7706923i</v>
      </c>
      <c r="AD98" s="128" t="str">
        <f t="shared" si="26"/>
        <v>109999.817362365-138.084752217016i</v>
      </c>
      <c r="AE98" s="128" t="str">
        <f t="shared" si="27"/>
        <v>-115.615659536832+36.094707629539i</v>
      </c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</row>
    <row r="99" spans="1:45" s="166" customFormat="1" x14ac:dyDescent="0.2">
      <c r="A99" s="132">
        <f t="shared" si="0"/>
        <v>56.098999999999997</v>
      </c>
      <c r="B99" s="132">
        <f t="shared" si="20"/>
        <v>1.3800000000000003</v>
      </c>
      <c r="C99" s="138">
        <f t="shared" si="21"/>
        <v>23.988329190194928</v>
      </c>
      <c r="D99" s="137">
        <f t="shared" si="1"/>
        <v>56.09934183949543</v>
      </c>
      <c r="E99" s="132">
        <f t="shared" si="2"/>
        <v>153.66022373023767</v>
      </c>
      <c r="G99" s="138"/>
      <c r="H99" s="184" t="str">
        <f t="shared" si="3"/>
        <v>0.5-30.1576468195339i</v>
      </c>
      <c r="I99" s="132" t="str">
        <f t="shared" si="4"/>
        <v>0.01-150.78823409767i</v>
      </c>
      <c r="J99" s="132" t="str">
        <f t="shared" si="5"/>
        <v>0.347497317340721-25.1323241459773i</v>
      </c>
      <c r="K99" s="132"/>
      <c r="L99" s="132" t="str">
        <f t="shared" si="6"/>
        <v>1.37308434992418-0.0752281581583036i</v>
      </c>
      <c r="M99" s="132" t="str">
        <f t="shared" si="7"/>
        <v>0.009+0.000497386287788346i</v>
      </c>
      <c r="N99" s="132" t="str">
        <f t="shared" si="8"/>
        <v>0.993526482097728-0.000709911285368828i</v>
      </c>
      <c r="O99" s="185">
        <f t="shared" si="9"/>
        <v>-5.6408831329008521E-2</v>
      </c>
      <c r="P99" s="185">
        <f t="shared" si="10"/>
        <v>-4.0939938985917981E-2</v>
      </c>
      <c r="Q99" s="132">
        <f t="shared" si="11"/>
        <v>150.72311751161996</v>
      </c>
      <c r="R99" s="132">
        <f t="shared" si="22"/>
        <v>1.3800000000000003</v>
      </c>
      <c r="S99" s="164">
        <f t="shared" si="12"/>
        <v>14.990544908048008</v>
      </c>
      <c r="T99" s="132" t="str">
        <f t="shared" si="13"/>
        <v>1+0.00209625711835161i</v>
      </c>
      <c r="U99" s="138">
        <f t="shared" si="14"/>
        <v>41.108796931447422</v>
      </c>
      <c r="V99" s="132">
        <f t="shared" si="15"/>
        <v>153.7011636692236</v>
      </c>
      <c r="W99" s="132">
        <f t="shared" si="16"/>
        <v>59.999722330641198</v>
      </c>
      <c r="X99" s="138">
        <f t="shared" si="17"/>
        <v>-0.45827101921150382</v>
      </c>
      <c r="Y99" s="128" t="str">
        <f t="shared" si="18"/>
        <v>999.936047131103-7.99799718882673i</v>
      </c>
      <c r="Z99" s="128" t="str">
        <f t="shared" si="19"/>
        <v>-552890191.691455i</v>
      </c>
      <c r="AA99" s="128" t="str">
        <f t="shared" si="23"/>
        <v>64900-45645445.570072i</v>
      </c>
      <c r="AB99" s="128" t="str">
        <f t="shared" si="24"/>
        <v>5900-83683316.8784658i</v>
      </c>
      <c r="AC99" s="128" t="str">
        <f t="shared" si="25"/>
        <v>58359.8391611711-43284478.5394314i</v>
      </c>
      <c r="AD99" s="128" t="str">
        <f t="shared" si="26"/>
        <v>109999.799741849-144.592461692851i</v>
      </c>
      <c r="AE99" s="128" t="str">
        <f t="shared" si="27"/>
        <v>-114.626445703448+37.4695552361768i</v>
      </c>
      <c r="AF99" s="130"/>
      <c r="AG99" s="130"/>
      <c r="AH99" s="130"/>
      <c r="AI99" s="130"/>
      <c r="AJ99" s="130"/>
      <c r="AK99" s="130"/>
      <c r="AL99" s="130"/>
      <c r="AM99" s="130"/>
      <c r="AN99" s="130"/>
      <c r="AO99" s="130"/>
      <c r="AP99" s="130"/>
      <c r="AQ99" s="130"/>
      <c r="AR99" s="130"/>
      <c r="AS99" s="130"/>
    </row>
    <row r="100" spans="1:45" s="166" customFormat="1" x14ac:dyDescent="0.2">
      <c r="A100" s="132">
        <f t="shared" si="0"/>
        <v>56.017000000000003</v>
      </c>
      <c r="B100" s="132">
        <f t="shared" si="20"/>
        <v>1.4000000000000006</v>
      </c>
      <c r="C100" s="138">
        <f t="shared" si="21"/>
        <v>25.118864315095834</v>
      </c>
      <c r="D100" s="137">
        <f t="shared" si="1"/>
        <v>56.01657342370261</v>
      </c>
      <c r="E100" s="132">
        <f t="shared" si="2"/>
        <v>152.60019274658598</v>
      </c>
      <c r="G100" s="138"/>
      <c r="H100" s="184" t="str">
        <f t="shared" si="3"/>
        <v>0.5-28.8003291245078i</v>
      </c>
      <c r="I100" s="132" t="str">
        <f t="shared" si="4"/>
        <v>0.01-144.001645622539i</v>
      </c>
      <c r="J100" s="132" t="str">
        <f t="shared" si="5"/>
        <v>0.347497058524847-24.0012709228057i</v>
      </c>
      <c r="K100" s="132"/>
      <c r="L100" s="132" t="str">
        <f t="shared" si="6"/>
        <v>1.37258858264669-0.0787376174467402i</v>
      </c>
      <c r="M100" s="132" t="str">
        <f t="shared" si="7"/>
        <v>0.009+0.000520827381352238i</v>
      </c>
      <c r="N100" s="132" t="str">
        <f t="shared" si="8"/>
        <v>0.993527845721948-0.000743389549312779i</v>
      </c>
      <c r="O100" s="185">
        <f t="shared" si="9"/>
        <v>-5.6396695816576005E-2</v>
      </c>
      <c r="P100" s="185">
        <f t="shared" si="10"/>
        <v>-4.2870540513343082E-2</v>
      </c>
      <c r="Q100" s="132">
        <f t="shared" si="11"/>
        <v>157.82647919764776</v>
      </c>
      <c r="R100" s="132">
        <f t="shared" si="22"/>
        <v>1.4000000000000004</v>
      </c>
      <c r="S100" s="164">
        <f t="shared" si="12"/>
        <v>14.990557043560441</v>
      </c>
      <c r="T100" s="132" t="str">
        <f t="shared" si="13"/>
        <v>1+0.00219505067268088i</v>
      </c>
      <c r="U100" s="138">
        <f t="shared" si="14"/>
        <v>41.026016380142167</v>
      </c>
      <c r="V100" s="132">
        <f t="shared" si="15"/>
        <v>152.64306328709932</v>
      </c>
      <c r="W100" s="132">
        <f t="shared" si="16"/>
        <v>59.999695542541303</v>
      </c>
      <c r="X100" s="138">
        <f t="shared" si="17"/>
        <v>-0.479867680608904</v>
      </c>
      <c r="Y100" s="128" t="str">
        <f t="shared" si="18"/>
        <v>999.929877506203-8.37487952566106i</v>
      </c>
      <c r="Z100" s="128" t="str">
        <f t="shared" si="19"/>
        <v>-528006033.949311i</v>
      </c>
      <c r="AA100" s="128" t="str">
        <f t="shared" si="23"/>
        <v>64900-43591062.1050637i</v>
      </c>
      <c r="AB100" s="128" t="str">
        <f t="shared" si="24"/>
        <v>5900-79916947.1926167i</v>
      </c>
      <c r="AC100" s="128" t="str">
        <f t="shared" si="25"/>
        <v>58359.8391307184-41336356.4904038i</v>
      </c>
      <c r="AD100" s="128" t="str">
        <f t="shared" si="26"/>
        <v>109999.780421344-151.406866451872i</v>
      </c>
      <c r="AE100" s="128" t="str">
        <f t="shared" si="27"/>
        <v>-113.561238111347+38.8675780497829i</v>
      </c>
      <c r="AF100" s="130"/>
      <c r="AG100" s="130"/>
      <c r="AH100" s="130"/>
      <c r="AI100" s="130"/>
      <c r="AJ100" s="130"/>
      <c r="AK100" s="130"/>
      <c r="AL100" s="130"/>
      <c r="AM100" s="130"/>
      <c r="AN100" s="130"/>
      <c r="AO100" s="130"/>
      <c r="AP100" s="130"/>
      <c r="AQ100" s="130"/>
      <c r="AR100" s="130"/>
      <c r="AS100" s="130"/>
    </row>
    <row r="101" spans="1:45" s="166" customFormat="1" x14ac:dyDescent="0.2">
      <c r="A101" s="132">
        <f t="shared" si="0"/>
        <v>55.927999999999997</v>
      </c>
      <c r="B101" s="132">
        <f t="shared" si="20"/>
        <v>1.4200000000000006</v>
      </c>
      <c r="C101" s="138">
        <f t="shared" si="21"/>
        <v>26.302679918953849</v>
      </c>
      <c r="D101" s="137">
        <f t="shared" si="1"/>
        <v>55.92759738546372</v>
      </c>
      <c r="E101" s="132">
        <f t="shared" si="2"/>
        <v>151.51211771248055</v>
      </c>
      <c r="G101" s="138"/>
      <c r="H101" s="184" t="str">
        <f t="shared" si="3"/>
        <v>0.5-27.5041007888823i</v>
      </c>
      <c r="I101" s="132" t="str">
        <f t="shared" si="4"/>
        <v>0.01-137.520503944411i</v>
      </c>
      <c r="J101" s="132" t="str">
        <f t="shared" si="5"/>
        <v>0.34749677473934-22.9211276130206i</v>
      </c>
      <c r="K101" s="132"/>
      <c r="L101" s="132" t="str">
        <f t="shared" si="6"/>
        <v>1.37204550858099-0.082407188395555i</v>
      </c>
      <c r="M101" s="132" t="str">
        <f t="shared" si="7"/>
        <v>0.009+0.000545373219620521i</v>
      </c>
      <c r="N101" s="132" t="str">
        <f t="shared" si="8"/>
        <v>0.993529340837569-0.000778448731314072i</v>
      </c>
      <c r="O101" s="185">
        <f t="shared" si="9"/>
        <v>-5.6383390083715346E-2</v>
      </c>
      <c r="P101" s="185">
        <f t="shared" si="10"/>
        <v>-4.4892300520255508E-2</v>
      </c>
      <c r="Q101" s="132">
        <f t="shared" si="11"/>
        <v>165.26461200621839</v>
      </c>
      <c r="R101" s="132">
        <f t="shared" si="22"/>
        <v>1.4200000000000004</v>
      </c>
      <c r="S101" s="164">
        <f t="shared" si="12"/>
        <v>14.990570349293302</v>
      </c>
      <c r="T101" s="132" t="str">
        <f t="shared" si="13"/>
        <v>1+0.00229850022378248i</v>
      </c>
      <c r="U101" s="138">
        <f t="shared" si="14"/>
        <v>40.93702703617042</v>
      </c>
      <c r="V101" s="132">
        <f t="shared" si="15"/>
        <v>151.55701001300079</v>
      </c>
      <c r="W101" s="132">
        <f t="shared" si="16"/>
        <v>59.999666170163799</v>
      </c>
      <c r="X101" s="138">
        <f t="shared" si="17"/>
        <v>-0.50248201517790025</v>
      </c>
      <c r="Y101" s="128" t="str">
        <f t="shared" si="18"/>
        <v>999.923112734501-8.76951612726508i</v>
      </c>
      <c r="Z101" s="128" t="str">
        <f t="shared" si="19"/>
        <v>-504241847.796174i</v>
      </c>
      <c r="AA101" s="128" t="str">
        <f t="shared" si="23"/>
        <v>64900-41629141.1271359i</v>
      </c>
      <c r="AB101" s="128" t="str">
        <f t="shared" si="24"/>
        <v>5900-76320092.0664159i</v>
      </c>
      <c r="AC101" s="128" t="str">
        <f t="shared" si="25"/>
        <v>58359.8390973279-39475914.3955543i</v>
      </c>
      <c r="AD101" s="128" t="str">
        <f t="shared" si="26"/>
        <v>109999.759236841-158.542420061811i</v>
      </c>
      <c r="AE101" s="128" t="str">
        <f t="shared" si="27"/>
        <v>-112.415985147955+40.2852048414863i</v>
      </c>
      <c r="AF101" s="130"/>
      <c r="AG101" s="130"/>
      <c r="AH101" s="130"/>
      <c r="AI101" s="130"/>
      <c r="AJ101" s="130"/>
      <c r="AK101" s="130"/>
      <c r="AL101" s="130"/>
      <c r="AM101" s="130"/>
      <c r="AN101" s="130"/>
      <c r="AO101" s="130"/>
      <c r="AP101" s="130"/>
      <c r="AQ101" s="130"/>
      <c r="AR101" s="130"/>
      <c r="AS101" s="130"/>
    </row>
    <row r="102" spans="1:45" s="166" customFormat="1" x14ac:dyDescent="0.2">
      <c r="A102" s="132">
        <f t="shared" si="0"/>
        <v>55.832000000000001</v>
      </c>
      <c r="B102" s="132">
        <f t="shared" si="20"/>
        <v>1.4400000000000006</v>
      </c>
      <c r="C102" s="138">
        <f t="shared" si="21"/>
        <v>27.542287033381701</v>
      </c>
      <c r="D102" s="137">
        <f t="shared" si="1"/>
        <v>55.832088449845301</v>
      </c>
      <c r="E102" s="132">
        <f t="shared" si="2"/>
        <v>150.39691205784479</v>
      </c>
      <c r="G102" s="138"/>
      <c r="H102" s="184" t="str">
        <f t="shared" si="3"/>
        <v>0.5-26.2662123385688i</v>
      </c>
      <c r="I102" s="132" t="str">
        <f t="shared" si="4"/>
        <v>0.01-131.331061692844i</v>
      </c>
      <c r="J102" s="132" t="str">
        <f t="shared" si="5"/>
        <v>0.347496463575268-21.889603087822i</v>
      </c>
      <c r="K102" s="132"/>
      <c r="L102" s="132" t="str">
        <f t="shared" si="6"/>
        <v>1.37145066867377-0.0862436442056532i</v>
      </c>
      <c r="M102" s="132" t="str">
        <f t="shared" si="7"/>
        <v>0.009+0.00057107586760708i</v>
      </c>
      <c r="N102" s="132" t="str">
        <f t="shared" si="8"/>
        <v>0.993530980116775-0.000815163802060339i</v>
      </c>
      <c r="O102" s="185">
        <f t="shared" si="9"/>
        <v>-5.6368801349337215E-2</v>
      </c>
      <c r="P102" s="185">
        <f t="shared" si="10"/>
        <v>-4.7009540642730593E-2</v>
      </c>
      <c r="Q102" s="132">
        <f t="shared" si="11"/>
        <v>173.05329321426674</v>
      </c>
      <c r="R102" s="132">
        <f t="shared" si="22"/>
        <v>1.4400000000000004</v>
      </c>
      <c r="S102" s="164">
        <f t="shared" si="12"/>
        <v>14.990584938027681</v>
      </c>
      <c r="T102" s="132" t="str">
        <f t="shared" si="13"/>
        <v>1+0.00240682520202402i</v>
      </c>
      <c r="U102" s="138">
        <f t="shared" si="14"/>
        <v>40.841503511817621</v>
      </c>
      <c r="V102" s="132">
        <f t="shared" si="15"/>
        <v>150.44392159848752</v>
      </c>
      <c r="W102" s="132">
        <f t="shared" si="16"/>
        <v>59.999633964220607</v>
      </c>
      <c r="X102" s="138">
        <f t="shared" si="17"/>
        <v>-0.5261619627311106</v>
      </c>
      <c r="Y102" s="128" t="str">
        <f t="shared" si="18"/>
        <v>999.915695414999-9.18274259280445i</v>
      </c>
      <c r="Z102" s="128" t="str">
        <f t="shared" si="19"/>
        <v>-481547226.207096i</v>
      </c>
      <c r="AA102" s="128" t="str">
        <f t="shared" si="23"/>
        <v>64900-39755521.1388549i</v>
      </c>
      <c r="AB102" s="128" t="str">
        <f t="shared" si="24"/>
        <v>5900-72885122.0879005i</v>
      </c>
      <c r="AC102" s="128" t="str">
        <f t="shared" si="25"/>
        <v>58359.8390607158-37699206.0077659i</v>
      </c>
      <c r="AD102" s="128" t="str">
        <f t="shared" si="26"/>
        <v>109999.736008504-166.014257186712i</v>
      </c>
      <c r="AE102" s="128" t="str">
        <f t="shared" si="27"/>
        <v>-111.186733297231+41.7183170492054i</v>
      </c>
      <c r="AF102" s="130"/>
      <c r="AG102" s="130"/>
      <c r="AH102" s="130"/>
      <c r="AI102" s="130"/>
      <c r="AJ102" s="130"/>
      <c r="AK102" s="130"/>
      <c r="AL102" s="130"/>
      <c r="AM102" s="130"/>
      <c r="AN102" s="130"/>
      <c r="AO102" s="130"/>
      <c r="AP102" s="130"/>
      <c r="AQ102" s="130"/>
      <c r="AR102" s="130"/>
      <c r="AS102" s="130"/>
    </row>
    <row r="103" spans="1:45" s="166" customFormat="1" x14ac:dyDescent="0.2">
      <c r="A103" s="132">
        <f t="shared" si="0"/>
        <v>55.73</v>
      </c>
      <c r="B103" s="132">
        <f t="shared" si="20"/>
        <v>1.4600000000000006</v>
      </c>
      <c r="C103" s="138">
        <f t="shared" si="21"/>
        <v>28.840315031266094</v>
      </c>
      <c r="D103" s="137">
        <f t="shared" si="1"/>
        <v>55.729724961776867</v>
      </c>
      <c r="E103" s="132">
        <f t="shared" si="2"/>
        <v>149.25568026535609</v>
      </c>
      <c r="G103" s="138"/>
      <c r="H103" s="184" t="str">
        <f t="shared" si="3"/>
        <v>0.5-25.084038046198i</v>
      </c>
      <c r="I103" s="132" t="str">
        <f t="shared" si="4"/>
        <v>0.01-125.42019023099i</v>
      </c>
      <c r="J103" s="132" t="str">
        <f t="shared" si="5"/>
        <v>0.347496122391308-20.9045093453686i</v>
      </c>
      <c r="K103" s="132"/>
      <c r="L103" s="132" t="str">
        <f t="shared" si="6"/>
        <v>1.37079919461085-0.0902539654397097i</v>
      </c>
      <c r="M103" s="132" t="str">
        <f t="shared" si="7"/>
        <v>0.009+0.00059798984407431i</v>
      </c>
      <c r="N103" s="132" t="str">
        <f t="shared" si="8"/>
        <v>0.993532777451536-0.000853613334209217i</v>
      </c>
      <c r="O103" s="185">
        <f t="shared" si="9"/>
        <v>-5.6352805975611771E-2</v>
      </c>
      <c r="P103" s="185">
        <f t="shared" si="10"/>
        <v>-4.9226789957996377E-2</v>
      </c>
      <c r="Q103" s="132">
        <f t="shared" si="11"/>
        <v>181.20904365888168</v>
      </c>
      <c r="R103" s="132">
        <f t="shared" si="22"/>
        <v>1.4600000000000004</v>
      </c>
      <c r="S103" s="164">
        <f t="shared" si="12"/>
        <v>14.990600933401407</v>
      </c>
      <c r="T103" s="132" t="str">
        <f t="shared" si="13"/>
        <v>1+0.00252025537920773i</v>
      </c>
      <c r="U103" s="138">
        <f t="shared" si="14"/>
        <v>40.739124028375457</v>
      </c>
      <c r="V103" s="132">
        <f t="shared" si="15"/>
        <v>149.30490705531409</v>
      </c>
      <c r="W103" s="132">
        <f t="shared" si="16"/>
        <v>59.999598651380623</v>
      </c>
      <c r="X103" s="138">
        <f t="shared" si="17"/>
        <v>-0.5509577192085201</v>
      </c>
      <c r="Y103" s="128" t="str">
        <f t="shared" si="18"/>
        <v>999.907562612331-9.61543373413145i</v>
      </c>
      <c r="Z103" s="128" t="str">
        <f t="shared" si="19"/>
        <v>-459874030.846964i</v>
      </c>
      <c r="AA103" s="128" t="str">
        <f t="shared" si="23"/>
        <v>64900-37966227.9410248i</v>
      </c>
      <c r="AB103" s="128" t="str">
        <f t="shared" si="24"/>
        <v>5900-69604751.225212i</v>
      </c>
      <c r="AC103" s="128" t="str">
        <f t="shared" si="25"/>
        <v>58359.8390205715-36002462.6903402i</v>
      </c>
      <c r="AD103" s="128" t="str">
        <f t="shared" si="26"/>
        <v>109999.710539151-173.838225674239i</v>
      </c>
      <c r="AE103" s="128" t="str">
        <f t="shared" si="27"/>
        <v>-109.869692385503+43.1622237321562i</v>
      </c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</row>
    <row r="104" spans="1:45" s="166" customFormat="1" x14ac:dyDescent="0.2">
      <c r="A104" s="132">
        <f t="shared" si="0"/>
        <v>55.62</v>
      </c>
      <c r="B104" s="132">
        <f t="shared" si="20"/>
        <v>1.4800000000000006</v>
      </c>
      <c r="C104" s="138">
        <f t="shared" si="21"/>
        <v>30.199517204020204</v>
      </c>
      <c r="D104" s="137">
        <f t="shared" si="1"/>
        <v>55.620192106544344</v>
      </c>
      <c r="E104" s="132">
        <f t="shared" si="2"/>
        <v>148.08972215526538</v>
      </c>
      <c r="G104" s="138"/>
      <c r="H104" s="184" t="str">
        <f t="shared" si="3"/>
        <v>0.5-23.9550703615987i</v>
      </c>
      <c r="I104" s="132" t="str">
        <f t="shared" si="4"/>
        <v>0.01-119.775351807994i</v>
      </c>
      <c r="J104" s="132" t="str">
        <f t="shared" si="5"/>
        <v>0.347495748291326-19.9637568697297i</v>
      </c>
      <c r="K104" s="132"/>
      <c r="L104" s="132" t="str">
        <f t="shared" si="6"/>
        <v>1.37008577347329-0.0944453338911547i</v>
      </c>
      <c r="M104" s="132" t="str">
        <f t="shared" si="7"/>
        <v>0.009+0.000626172237174716i</v>
      </c>
      <c r="N104" s="132" t="str">
        <f t="shared" si="8"/>
        <v>0.993534748070723-0.00089387968230326i</v>
      </c>
      <c r="O104" s="185">
        <f t="shared" si="9"/>
        <v>-5.633526842545053E-2</v>
      </c>
      <c r="P104" s="185">
        <f t="shared" si="10"/>
        <v>-5.1548795317992391E-2</v>
      </c>
      <c r="Q104" s="132">
        <f t="shared" si="11"/>
        <v>189.74916278021689</v>
      </c>
      <c r="R104" s="132">
        <f t="shared" si="22"/>
        <v>1.4800000000000004</v>
      </c>
      <c r="S104" s="164">
        <f t="shared" si="12"/>
        <v>14.990618470951567</v>
      </c>
      <c r="T104" s="132" t="str">
        <f t="shared" si="13"/>
        <v>1+0.00263903135594726i</v>
      </c>
      <c r="U104" s="138">
        <f t="shared" si="14"/>
        <v>40.629573635592777</v>
      </c>
      <c r="V104" s="132">
        <f t="shared" si="15"/>
        <v>148.14127095058336</v>
      </c>
      <c r="W104" s="132">
        <f t="shared" si="16"/>
        <v>59.999559931951538</v>
      </c>
      <c r="X104" s="138">
        <f t="shared" si="17"/>
        <v>-0.57692184253060508</v>
      </c>
      <c r="Y104" s="128" t="str">
        <f t="shared" si="18"/>
        <v>999.898645323541-10.068505398962i</v>
      </c>
      <c r="Z104" s="128" t="str">
        <f t="shared" si="19"/>
        <v>-439176289.962644i</v>
      </c>
      <c r="AA104" s="128" t="str">
        <f t="shared" si="23"/>
        <v>64900-36257466.2028786i</v>
      </c>
      <c r="AB104" s="128" t="str">
        <f t="shared" si="24"/>
        <v>5900-66472021.3719442i</v>
      </c>
      <c r="AC104" s="128" t="str">
        <f t="shared" si="25"/>
        <v>58359.8389765541-34382085.4232152i</v>
      </c>
      <c r="AD104" s="128" t="str">
        <f t="shared" si="26"/>
        <v>109999.682612576-182.030920153491i</v>
      </c>
      <c r="AE104" s="128" t="str">
        <f t="shared" si="27"/>
        <v>-108.461309033446+44.6116434165085i</v>
      </c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</row>
    <row r="105" spans="1:45" s="166" customFormat="1" x14ac:dyDescent="0.2">
      <c r="A105" s="132">
        <f t="shared" si="0"/>
        <v>55.503</v>
      </c>
      <c r="B105" s="132">
        <f t="shared" si="20"/>
        <v>1.5000000000000004</v>
      </c>
      <c r="C105" s="138">
        <f t="shared" si="21"/>
        <v>31.622776601683832</v>
      </c>
      <c r="D105" s="137">
        <f t="shared" si="1"/>
        <v>55.503185337589727</v>
      </c>
      <c r="E105" s="132">
        <f t="shared" si="2"/>
        <v>146.90053445983679</v>
      </c>
      <c r="G105" s="138"/>
      <c r="H105" s="184" t="str">
        <f t="shared" si="3"/>
        <v>0.5-22.8769145929486i</v>
      </c>
      <c r="I105" s="132" t="str">
        <f t="shared" si="4"/>
        <v>0.01-114.384572964743i</v>
      </c>
      <c r="J105" s="132" t="str">
        <f t="shared" si="5"/>
        <v>0.347495338099804-19.0653501987426i</v>
      </c>
      <c r="K105" s="132"/>
      <c r="L105" s="132" t="str">
        <f t="shared" si="6"/>
        <v>1.36930460979148-0.098825123976711i</v>
      </c>
      <c r="M105" s="132" t="str">
        <f t="shared" si="7"/>
        <v>0.009+0.000655682825542543i</v>
      </c>
      <c r="N105" s="132" t="str">
        <f t="shared" si="8"/>
        <v>0.993536908668413-0.00093604917266331i</v>
      </c>
      <c r="O105" s="185">
        <f t="shared" si="9"/>
        <v>-5.6316040120308893E-2</v>
      </c>
      <c r="P105" s="185">
        <f t="shared" si="10"/>
        <v>-5.3980532252139987E-2</v>
      </c>
      <c r="Q105" s="132">
        <f t="shared" si="11"/>
        <v>198.69176531592225</v>
      </c>
      <c r="R105" s="132">
        <f t="shared" si="22"/>
        <v>1.5000000000000004</v>
      </c>
      <c r="S105" s="164">
        <f t="shared" si="12"/>
        <v>14.990637699256709</v>
      </c>
      <c r="T105" s="132" t="str">
        <f t="shared" si="13"/>
        <v>1+0.00276340507201385i</v>
      </c>
      <c r="U105" s="138">
        <f t="shared" si="14"/>
        <v>40.512547638333018</v>
      </c>
      <c r="V105" s="132">
        <f t="shared" si="15"/>
        <v>146.95451499208892</v>
      </c>
      <c r="W105" s="132">
        <f t="shared" si="16"/>
        <v>59.999517477338543</v>
      </c>
      <c r="X105" s="138">
        <f t="shared" si="17"/>
        <v>-0.60410936336982457</v>
      </c>
      <c r="Y105" s="128" t="str">
        <f t="shared" si="18"/>
        <v>999.888867893567-10.5429163762964i</v>
      </c>
      <c r="Z105" s="128" t="str">
        <f t="shared" si="19"/>
        <v>-419410100.870724i</v>
      </c>
      <c r="AA105" s="128" t="str">
        <f t="shared" si="23"/>
        <v>64900-34625611.4116718i</v>
      </c>
      <c r="AB105" s="128" t="str">
        <f t="shared" si="24"/>
        <v>5900-63480287.5880651i</v>
      </c>
      <c r="AC105" s="128" t="str">
        <f t="shared" si="25"/>
        <v>58359.8389282901-32834637.1689592i</v>
      </c>
      <c r="AD105" s="128" t="str">
        <f t="shared" si="26"/>
        <v>109999.651991712-190.609717214235i</v>
      </c>
      <c r="AE105" s="128" t="str">
        <f t="shared" si="27"/>
        <v>-106.958347908702+46.060694735184i</v>
      </c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</row>
    <row r="106" spans="1:45" s="166" customFormat="1" x14ac:dyDescent="0.2">
      <c r="A106" s="132">
        <f t="shared" si="0"/>
        <v>55.378</v>
      </c>
      <c r="B106" s="132">
        <f t="shared" si="20"/>
        <v>1.5200000000000007</v>
      </c>
      <c r="C106" s="138">
        <f t="shared" si="21"/>
        <v>33.113112148259155</v>
      </c>
      <c r="D106" s="137">
        <f t="shared" si="1"/>
        <v>55.378413952148321</v>
      </c>
      <c r="E106" s="132">
        <f t="shared" si="2"/>
        <v>145.68980934753603</v>
      </c>
      <c r="G106" s="138"/>
      <c r="H106" s="184" t="str">
        <f t="shared" si="3"/>
        <v>0.5-21.8472838273115i</v>
      </c>
      <c r="I106" s="132" t="str">
        <f t="shared" si="4"/>
        <v>0.01-109.236419136558i</v>
      </c>
      <c r="J106" s="132" t="str">
        <f t="shared" si="5"/>
        <v>0.347494888334893-18.2073836913689i</v>
      </c>
      <c r="K106" s="132"/>
      <c r="L106" s="132" t="str">
        <f t="shared" si="6"/>
        <v>1.36844938490035-0.103400891253899i</v>
      </c>
      <c r="M106" s="132" t="str">
        <f t="shared" si="7"/>
        <v>0.009+0.000686584205092275i</v>
      </c>
      <c r="N106" s="132" t="str">
        <f t="shared" si="8"/>
        <v>0.993539277544429-0.000980212303952173i</v>
      </c>
      <c r="O106" s="185">
        <f t="shared" si="9"/>
        <v>-5.6294958189056284E-2</v>
      </c>
      <c r="P106" s="185">
        <f t="shared" si="10"/>
        <v>-5.6527216478297344E-2</v>
      </c>
      <c r="Q106" s="132">
        <f t="shared" si="11"/>
        <v>208.05581972493178</v>
      </c>
      <c r="R106" s="132">
        <f t="shared" si="22"/>
        <v>1.5200000000000005</v>
      </c>
      <c r="S106" s="164">
        <f t="shared" si="12"/>
        <v>14.99065878118796</v>
      </c>
      <c r="T106" s="132" t="str">
        <f t="shared" si="13"/>
        <v>1+0.00289364034073435i</v>
      </c>
      <c r="U106" s="138">
        <f t="shared" si="14"/>
        <v>40.387755170960361</v>
      </c>
      <c r="V106" s="132">
        <f t="shared" si="15"/>
        <v>145.74633656401431</v>
      </c>
      <c r="W106" s="132">
        <f t="shared" si="16"/>
        <v>59.999470927258088</v>
      </c>
      <c r="X106" s="138">
        <f t="shared" si="17"/>
        <v>-0.63257790106192879</v>
      </c>
      <c r="Y106" s="128" t="str">
        <f t="shared" si="18"/>
        <v>999.878147374496-11.0396703874165i</v>
      </c>
      <c r="Z106" s="128" t="str">
        <f t="shared" si="19"/>
        <v>-400533536.834045i</v>
      </c>
      <c r="AA106" s="128" t="str">
        <f t="shared" si="23"/>
        <v>64900-33067202.1846059i</v>
      </c>
      <c r="AB106" s="128" t="str">
        <f t="shared" si="24"/>
        <v>5900-60623204.0051108i</v>
      </c>
      <c r="AC106" s="128" t="str">
        <f t="shared" si="25"/>
        <v>58359.8388753694-31356835.5823553i</v>
      </c>
      <c r="AD106" s="128" t="str">
        <f t="shared" si="26"/>
        <v>109999.618416623-199.592812241769i</v>
      </c>
      <c r="AE106" s="128" t="str">
        <f t="shared" si="27"/>
        <v>-105.357979979026+47.5028978674504i</v>
      </c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</row>
    <row r="107" spans="1:45" s="166" customFormat="1" x14ac:dyDescent="0.2">
      <c r="A107" s="132">
        <f t="shared" si="0"/>
        <v>55.246000000000002</v>
      </c>
      <c r="B107" s="132">
        <f t="shared" si="20"/>
        <v>1.5400000000000005</v>
      </c>
      <c r="C107" s="138">
        <f t="shared" si="21"/>
        <v>34.673685045253208</v>
      </c>
      <c r="D107" s="137">
        <f t="shared" si="1"/>
        <v>55.245604742618013</v>
      </c>
      <c r="E107" s="132">
        <f t="shared" si="2"/>
        <v>144.45942961898223</v>
      </c>
      <c r="G107" s="138"/>
      <c r="H107" s="184" t="str">
        <f t="shared" si="3"/>
        <v>0.5-20.8639940797886i</v>
      </c>
      <c r="I107" s="132" t="str">
        <f t="shared" si="4"/>
        <v>0.01-104.319970398943i</v>
      </c>
      <c r="J107" s="132" t="str">
        <f t="shared" si="5"/>
        <v>0.347494395178847-17.3880374855728i</v>
      </c>
      <c r="K107" s="132"/>
      <c r="L107" s="132" t="str">
        <f t="shared" si="6"/>
        <v>1.36751321351809-0.108180357614674i</v>
      </c>
      <c r="M107" s="132" t="str">
        <f t="shared" si="7"/>
        <v>0.009+0.000718941921792955i</v>
      </c>
      <c r="N107" s="132" t="str">
        <f t="shared" si="8"/>
        <v>0.993541874758274-0.00102646395916505i</v>
      </c>
      <c r="O107" s="185">
        <f t="shared" si="9"/>
        <v>-5.6271844097549796E-2</v>
      </c>
      <c r="P107" s="185">
        <f t="shared" si="10"/>
        <v>-5.9194316064458803E-2</v>
      </c>
      <c r="Q107" s="132">
        <f t="shared" si="11"/>
        <v>217.86118842210752</v>
      </c>
      <c r="R107" s="132">
        <f t="shared" si="22"/>
        <v>1.5400000000000005</v>
      </c>
      <c r="S107" s="164">
        <f t="shared" si="12"/>
        <v>14.990681895279467</v>
      </c>
      <c r="T107" s="132" t="str">
        <f t="shared" si="13"/>
        <v>1+0.00303001340857467i</v>
      </c>
      <c r="U107" s="138">
        <f t="shared" si="14"/>
        <v>40.254922847338548</v>
      </c>
      <c r="V107" s="132">
        <f t="shared" si="15"/>
        <v>144.51862393504669</v>
      </c>
      <c r="W107" s="132">
        <f t="shared" si="16"/>
        <v>59.999419886683299</v>
      </c>
      <c r="X107" s="138">
        <f t="shared" si="17"/>
        <v>-0.66238778488728622</v>
      </c>
      <c r="Y107" s="128" t="str">
        <f t="shared" si="18"/>
        <v>999.866392823223-11.5598181658664i</v>
      </c>
      <c r="Z107" s="128" t="str">
        <f t="shared" si="19"/>
        <v>-382506558.129457i</v>
      </c>
      <c r="AA107" s="128" t="str">
        <f t="shared" si="23"/>
        <v>64900-31578932.9267704i</v>
      </c>
      <c r="AB107" s="128" t="str">
        <f t="shared" si="24"/>
        <v>5900-57894710.3657456i</v>
      </c>
      <c r="AC107" s="128" t="str">
        <f t="shared" si="25"/>
        <v>58359.8388173433-29945546.0481056i</v>
      </c>
      <c r="AD107" s="128" t="str">
        <f t="shared" si="26"/>
        <v>109999.581602294-208.999257985148i</v>
      </c>
      <c r="AE107" s="128" t="str">
        <f t="shared" si="27"/>
        <v>-103.657876508929+48.9311888118759i</v>
      </c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</row>
    <row r="108" spans="1:45" s="166" customFormat="1" x14ac:dyDescent="0.2">
      <c r="A108" s="132">
        <f t="shared" si="0"/>
        <v>55.104999999999997</v>
      </c>
      <c r="B108" s="132">
        <f t="shared" si="20"/>
        <v>1.5600000000000007</v>
      </c>
      <c r="C108" s="138">
        <f t="shared" si="21"/>
        <v>36.307805477010191</v>
      </c>
      <c r="D108" s="137">
        <f t="shared" si="1"/>
        <v>55.104505640474869</v>
      </c>
      <c r="E108" s="132">
        <f t="shared" si="2"/>
        <v>143.21146038009726</v>
      </c>
      <c r="G108" s="138"/>
      <c r="H108" s="184" t="str">
        <f t="shared" si="3"/>
        <v>0.5-19.9249596609932i</v>
      </c>
      <c r="I108" s="132" t="str">
        <f t="shared" si="4"/>
        <v>0.01-99.6247983049663i</v>
      </c>
      <c r="J108" s="132" t="str">
        <f t="shared" si="5"/>
        <v>0.347493854445653-16.6055736381504i</v>
      </c>
      <c r="K108" s="132"/>
      <c r="L108" s="132" t="str">
        <f t="shared" si="6"/>
        <v>1.36648859749603-0.113171392651656i</v>
      </c>
      <c r="M108" s="132" t="str">
        <f t="shared" si="7"/>
        <v>0.009+0.00075282461069998i</v>
      </c>
      <c r="N108" s="132" t="str">
        <f t="shared" si="8"/>
        <v>0.993544722297726-0.00107490362987221i</v>
      </c>
      <c r="O108" s="185">
        <f t="shared" si="9"/>
        <v>-5.6246502147641306E-2</v>
      </c>
      <c r="P108" s="185">
        <f t="shared" si="10"/>
        <v>-6.1987564287582474E-2</v>
      </c>
      <c r="Q108" s="132">
        <f t="shared" si="11"/>
        <v>228.12866990908495</v>
      </c>
      <c r="R108" s="132">
        <f t="shared" si="22"/>
        <v>1.5600000000000005</v>
      </c>
      <c r="S108" s="164">
        <f t="shared" si="12"/>
        <v>14.990707237229374</v>
      </c>
      <c r="T108" s="132" t="str">
        <f t="shared" si="13"/>
        <v>1+0.00317281354109555i</v>
      </c>
      <c r="U108" s="138">
        <f t="shared" si="14"/>
        <v>40.113798403245497</v>
      </c>
      <c r="V108" s="132">
        <f t="shared" si="15"/>
        <v>143.27344794438486</v>
      </c>
      <c r="W108" s="132">
        <f t="shared" si="16"/>
        <v>59.99936392249537</v>
      </c>
      <c r="X108" s="138">
        <f t="shared" si="17"/>
        <v>-0.69360218096165938</v>
      </c>
      <c r="Y108" s="128" t="str">
        <f t="shared" si="18"/>
        <v>999.853504531602-12.1044596298945i</v>
      </c>
      <c r="Z108" s="128" t="str">
        <f t="shared" si="19"/>
        <v>-365290927.118208i</v>
      </c>
      <c r="AA108" s="128" t="str">
        <f t="shared" si="23"/>
        <v>64900-30157646.8195339i</v>
      </c>
      <c r="AB108" s="128" t="str">
        <f t="shared" si="24"/>
        <v>5900-55289019.1691455i</v>
      </c>
      <c r="AC108" s="128" t="str">
        <f t="shared" si="25"/>
        <v>58359.8387537187-28597775.0318932i</v>
      </c>
      <c r="AD108" s="128" t="str">
        <f t="shared" si="26"/>
        <v>109999.541236215-218.849004940023i</v>
      </c>
      <c r="AE108" s="128" t="str">
        <f t="shared" si="27"/>
        <v>-101.856307035048+50.3379484559778i</v>
      </c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</row>
    <row r="109" spans="1:45" s="166" customFormat="1" x14ac:dyDescent="0.2">
      <c r="A109" s="132">
        <f t="shared" si="0"/>
        <v>54.954999999999998</v>
      </c>
      <c r="B109" s="132">
        <f t="shared" si="20"/>
        <v>1.5800000000000005</v>
      </c>
      <c r="C109" s="138">
        <f t="shared" si="21"/>
        <v>38.018939632056167</v>
      </c>
      <c r="D109" s="137">
        <f t="shared" si="1"/>
        <v>54.954889260951646</v>
      </c>
      <c r="E109" s="132">
        <f t="shared" si="2"/>
        <v>141.94813710112075</v>
      </c>
      <c r="G109" s="138"/>
      <c r="H109" s="184" t="str">
        <f t="shared" si="3"/>
        <v>0.5-19.0281887530247i</v>
      </c>
      <c r="I109" s="132" t="str">
        <f t="shared" si="4"/>
        <v>0.01-95.1409437651229i</v>
      </c>
      <c r="J109" s="132" t="str">
        <f t="shared" si="5"/>
        <v>0.347493261545486-15.858332438317i</v>
      </c>
      <c r="K109" s="132"/>
      <c r="L109" s="132" t="str">
        <f t="shared" si="6"/>
        <v>1.36536737672168-0.118381990634171i</v>
      </c>
      <c r="M109" s="132" t="str">
        <f t="shared" si="7"/>
        <v>0.009+0.000788304141539254i</v>
      </c>
      <c r="N109" s="132" t="str">
        <f t="shared" si="8"/>
        <v>0.99354784426345-0.00112563565363046i</v>
      </c>
      <c r="O109" s="185">
        <f t="shared" si="9"/>
        <v>-5.6218717833508611E-2</v>
      </c>
      <c r="P109" s="185">
        <f t="shared" si="10"/>
        <v>-6.4912973241000274E-2</v>
      </c>
      <c r="Q109" s="132">
        <f t="shared" si="11"/>
        <v>238.88004289068297</v>
      </c>
      <c r="R109" s="132">
        <f t="shared" si="22"/>
        <v>1.5800000000000005</v>
      </c>
      <c r="S109" s="164">
        <f t="shared" si="12"/>
        <v>14.990735021543509</v>
      </c>
      <c r="T109" s="132" t="str">
        <f t="shared" si="13"/>
        <v>1+0.00332234363652362i</v>
      </c>
      <c r="U109" s="138">
        <f t="shared" si="14"/>
        <v>39.964154239408138</v>
      </c>
      <c r="V109" s="132">
        <f t="shared" si="15"/>
        <v>142.01305007436176</v>
      </c>
      <c r="W109" s="132">
        <f t="shared" si="16"/>
        <v>59.999302559812421</v>
      </c>
      <c r="X109" s="138">
        <f t="shared" si="17"/>
        <v>-0.72628722498501441</v>
      </c>
      <c r="Y109" s="128" t="str">
        <f t="shared" si="18"/>
        <v>999.839373182625-12.6747461508909i</v>
      </c>
      <c r="Z109" s="128" t="str">
        <f t="shared" si="19"/>
        <v>-348850127.138785i</v>
      </c>
      <c r="AA109" s="128" t="str">
        <f t="shared" si="23"/>
        <v>64900-28800329.1245078i</v>
      </c>
      <c r="AB109" s="128" t="str">
        <f t="shared" si="24"/>
        <v>5900-52800603.3949311i</v>
      </c>
      <c r="AC109" s="128" t="str">
        <f t="shared" si="25"/>
        <v>58359.8386839559-27310663.7306939i</v>
      </c>
      <c r="AD109" s="128" t="str">
        <f t="shared" si="26"/>
        <v>109999.496975726-229.162943631214i</v>
      </c>
      <c r="AE109" s="128" t="str">
        <f t="shared" si="27"/>
        <v>-99.952239016325+51.7150482146682i</v>
      </c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</row>
    <row r="110" spans="1:45" s="166" customFormat="1" x14ac:dyDescent="0.2">
      <c r="A110" s="132">
        <f t="shared" si="0"/>
        <v>54.796999999999997</v>
      </c>
      <c r="B110" s="132">
        <f t="shared" si="20"/>
        <v>1.6000000000000008</v>
      </c>
      <c r="C110" s="138">
        <f t="shared" si="21"/>
        <v>39.810717055349791</v>
      </c>
      <c r="D110" s="137">
        <f t="shared" si="1"/>
        <v>54.796556251432492</v>
      </c>
      <c r="E110" s="132">
        <f t="shared" si="2"/>
        <v>140.67185008963855</v>
      </c>
      <c r="G110" s="138"/>
      <c r="H110" s="184" t="str">
        <f t="shared" si="3"/>
        <v>0.5-18.171779184555i</v>
      </c>
      <c r="I110" s="132" t="str">
        <f t="shared" si="4"/>
        <v>0.01-90.8588959227754i</v>
      </c>
      <c r="J110" s="132" t="str">
        <f t="shared" si="5"/>
        <v>0.347492611445777-15.1447288872374i</v>
      </c>
      <c r="K110" s="132"/>
      <c r="L110" s="132" t="str">
        <f t="shared" si="6"/>
        <v>1.36414067720016-0.123820242467723i</v>
      </c>
      <c r="M110" s="132" t="str">
        <f t="shared" si="7"/>
        <v>0.009+0.00082545577115251i</v>
      </c>
      <c r="N110" s="132" t="str">
        <f t="shared" si="8"/>
        <v>0.993551267071139-0.0011787694655596i</v>
      </c>
      <c r="O110" s="185">
        <f t="shared" si="9"/>
        <v>-5.6188256041854727E-2</v>
      </c>
      <c r="P110" s="185">
        <f t="shared" si="10"/>
        <v>-6.7976848246248611E-2</v>
      </c>
      <c r="Q110" s="132">
        <f t="shared" si="11"/>
        <v>250.13811247045757</v>
      </c>
      <c r="R110" s="132">
        <f t="shared" si="22"/>
        <v>1.6000000000000005</v>
      </c>
      <c r="S110" s="164">
        <f t="shared" si="12"/>
        <v>14.990765483335162</v>
      </c>
      <c r="T110" s="132" t="str">
        <f t="shared" si="13"/>
        <v>1+0.00347892086823912i</v>
      </c>
      <c r="U110" s="138">
        <f t="shared" si="14"/>
        <v>39.805790768097332</v>
      </c>
      <c r="V110" s="132">
        <f t="shared" si="15"/>
        <v>140.7398269378848</v>
      </c>
      <c r="W110" s="132">
        <f t="shared" si="16"/>
        <v>59.999235277965013</v>
      </c>
      <c r="X110" s="138">
        <f t="shared" si="17"/>
        <v>-0.76051216110644304</v>
      </c>
      <c r="Y110" s="128" t="str">
        <f t="shared" si="18"/>
        <v>999.823878925559-13.2718829214013i</v>
      </c>
      <c r="Z110" s="128" t="str">
        <f t="shared" si="19"/>
        <v>-333149285.050176i</v>
      </c>
      <c r="AA110" s="128" t="str">
        <f t="shared" si="23"/>
        <v>64900-27504100.7888823i</v>
      </c>
      <c r="AB110" s="128" t="str">
        <f t="shared" si="24"/>
        <v>5900-50424184.7796174i</v>
      </c>
      <c r="AC110" s="128" t="str">
        <f t="shared" si="25"/>
        <v>58359.8386074625-26081482.008872i</v>
      </c>
      <c r="AD110" s="128" t="str">
        <f t="shared" si="26"/>
        <v>109999.448445108-239.962948883987i</v>
      </c>
      <c r="AE110" s="128" t="str">
        <f t="shared" si="27"/>
        <v>-97.9454363123406+53.0539136774524i</v>
      </c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</row>
    <row r="111" spans="1:45" s="166" customFormat="1" x14ac:dyDescent="0.2">
      <c r="A111" s="132">
        <f t="shared" si="0"/>
        <v>54.628999999999998</v>
      </c>
      <c r="B111" s="132">
        <f t="shared" si="20"/>
        <v>1.6200000000000006</v>
      </c>
      <c r="C111" s="138">
        <f t="shared" si="21"/>
        <v>41.686938347033596</v>
      </c>
      <c r="D111" s="137">
        <f t="shared" si="1"/>
        <v>54.629338345327646</v>
      </c>
      <c r="E111" s="132">
        <f t="shared" si="2"/>
        <v>139.38512553623602</v>
      </c>
      <c r="G111" s="138"/>
      <c r="H111" s="184" t="str">
        <f t="shared" si="3"/>
        <v>0.5-17.3539143960687i</v>
      </c>
      <c r="I111" s="132" t="str">
        <f t="shared" si="4"/>
        <v>0.01-86.7695719803439i</v>
      </c>
      <c r="J111" s="132" t="str">
        <f t="shared" si="5"/>
        <v>0.347491898628492-14.4632493360293i</v>
      </c>
      <c r="K111" s="132"/>
      <c r="L111" s="132" t="str">
        <f t="shared" si="6"/>
        <v>1.36279885639425-0.12949430194308i</v>
      </c>
      <c r="M111" s="132" t="str">
        <f t="shared" si="7"/>
        <v>0.009+0.000864358303127163i</v>
      </c>
      <c r="N111" s="132" t="str">
        <f t="shared" si="8"/>
        <v>0.993555019672817-0.00123441986518648i</v>
      </c>
      <c r="O111" s="185">
        <f t="shared" si="9"/>
        <v>-5.6154859081376199E-2</v>
      </c>
      <c r="P111" s="185">
        <f t="shared" si="10"/>
        <v>-7.1185803131054909E-2</v>
      </c>
      <c r="Q111" s="132">
        <f t="shared" si="11"/>
        <v>261.92675852338277</v>
      </c>
      <c r="R111" s="132">
        <f t="shared" si="22"/>
        <v>1.6200000000000006</v>
      </c>
      <c r="S111" s="164">
        <f t="shared" si="12"/>
        <v>14.990798880295642</v>
      </c>
      <c r="T111" s="132" t="str">
        <f t="shared" si="13"/>
        <v>1+0.00364287735754321i</v>
      </c>
      <c r="U111" s="138">
        <f t="shared" si="14"/>
        <v>39.638539465032004</v>
      </c>
      <c r="V111" s="132">
        <f t="shared" si="15"/>
        <v>139.45631133936706</v>
      </c>
      <c r="W111" s="132">
        <f t="shared" si="16"/>
        <v>59.999161506084356</v>
      </c>
      <c r="X111" s="138">
        <f t="shared" si="17"/>
        <v>-0.79634948717262932</v>
      </c>
      <c r="Y111" s="128" t="str">
        <f t="shared" si="18"/>
        <v>999.806890362299-13.8971314263255i</v>
      </c>
      <c r="Z111" s="128" t="str">
        <f t="shared" si="19"/>
        <v>-318155097.26126i</v>
      </c>
      <c r="AA111" s="128" t="str">
        <f t="shared" si="23"/>
        <v>64900-26266212.3385688i</v>
      </c>
      <c r="AB111" s="128" t="str">
        <f t="shared" si="24"/>
        <v>5900-48154722.6207096i</v>
      </c>
      <c r="AC111" s="128" t="str">
        <f t="shared" si="25"/>
        <v>58359.838523589-24907622.607196i</v>
      </c>
      <c r="AD111" s="128" t="str">
        <f t="shared" si="26"/>
        <v>109999.395232396-251.271926177203i</v>
      </c>
      <c r="AE111" s="128" t="str">
        <f t="shared" si="27"/>
        <v>-95.8365531331341+54.3456072173613i</v>
      </c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</row>
    <row r="112" spans="1:45" s="166" customFormat="1" x14ac:dyDescent="0.2">
      <c r="A112" s="132">
        <f t="shared" si="0"/>
        <v>54.453000000000003</v>
      </c>
      <c r="B112" s="132">
        <f t="shared" si="20"/>
        <v>1.6400000000000008</v>
      </c>
      <c r="C112" s="138">
        <f t="shared" si="21"/>
        <v>43.651583224016669</v>
      </c>
      <c r="D112" s="137">
        <f t="shared" si="1"/>
        <v>54.453101026588065</v>
      </c>
      <c r="E112" s="132">
        <f t="shared" si="2"/>
        <v>138.09060342596484</v>
      </c>
      <c r="G112" s="138"/>
      <c r="H112" s="184" t="str">
        <f t="shared" si="3"/>
        <v>0.5-16.5728595866963i</v>
      </c>
      <c r="I112" s="132" t="str">
        <f t="shared" si="4"/>
        <v>0.01-82.8642979334815i</v>
      </c>
      <c r="J112" s="132" t="str">
        <f t="shared" si="5"/>
        <v>0.347491117043343-13.8124482751103i</v>
      </c>
      <c r="K112" s="132"/>
      <c r="L112" s="132" t="str">
        <f t="shared" si="6"/>
        <v>1.36133144597193-0.135412345510332i</v>
      </c>
      <c r="M112" s="132" t="str">
        <f t="shared" si="7"/>
        <v>0.009+0.000905094254949286i</v>
      </c>
      <c r="N112" s="132" t="str">
        <f t="shared" si="8"/>
        <v>0.993559133799073-0.00129270729978975i</v>
      </c>
      <c r="O112" s="185">
        <f t="shared" si="9"/>
        <v>-5.6118244525769218E-2</v>
      </c>
      <c r="P112" s="185">
        <f t="shared" si="10"/>
        <v>-7.4546776442466323E-2</v>
      </c>
      <c r="Q112" s="132">
        <f t="shared" si="11"/>
        <v>274.27098634826842</v>
      </c>
      <c r="R112" s="132">
        <f t="shared" si="22"/>
        <v>1.6400000000000006</v>
      </c>
      <c r="S112" s="164">
        <f t="shared" si="12"/>
        <v>14.990835494851247</v>
      </c>
      <c r="T112" s="132" t="str">
        <f t="shared" si="13"/>
        <v>1+0.00381456087813172i</v>
      </c>
      <c r="U112" s="138">
        <f t="shared" si="14"/>
        <v>39.462265531736819</v>
      </c>
      <c r="V112" s="132">
        <f t="shared" si="15"/>
        <v>138.16515020240732</v>
      </c>
      <c r="W112" s="132">
        <f t="shared" si="16"/>
        <v>59.999080618266021</v>
      </c>
      <c r="X112" s="138">
        <f t="shared" si="17"/>
        <v>-0.83387510663687126</v>
      </c>
      <c r="Y112" s="128" t="str">
        <f t="shared" si="18"/>
        <v>999.788263436448-14.5518120209194i</v>
      </c>
      <c r="Z112" s="128" t="str">
        <f t="shared" si="19"/>
        <v>-303835759.089432i</v>
      </c>
      <c r="AA112" s="128" t="str">
        <f t="shared" si="23"/>
        <v>64900-25084038.046198i</v>
      </c>
      <c r="AB112" s="128" t="str">
        <f t="shared" si="24"/>
        <v>5900-45987403.0846964i</v>
      </c>
      <c r="AC112" s="128" t="str">
        <f t="shared" si="25"/>
        <v>58359.8384316238-23786595.6124931i</v>
      </c>
      <c r="AD112" s="128" t="str">
        <f t="shared" si="26"/>
        <v>109999.336885878-263.113860175764i</v>
      </c>
      <c r="AE112" s="128" t="str">
        <f t="shared" si="27"/>
        <v>-93.6272196705288+55.5809298680977i</v>
      </c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</row>
    <row r="113" spans="1:45" s="166" customFormat="1" x14ac:dyDescent="0.2">
      <c r="A113" s="132">
        <f t="shared" si="0"/>
        <v>54.268000000000001</v>
      </c>
      <c r="B113" s="132">
        <f t="shared" si="20"/>
        <v>1.6600000000000008</v>
      </c>
      <c r="C113" s="138">
        <f t="shared" si="21"/>
        <v>45.708818961487587</v>
      </c>
      <c r="D113" s="137">
        <f t="shared" si="1"/>
        <v>54.267745718232348</v>
      </c>
      <c r="E113" s="132">
        <f t="shared" si="2"/>
        <v>136.79101273964702</v>
      </c>
      <c r="G113" s="138"/>
      <c r="H113" s="184" t="str">
        <f t="shared" si="3"/>
        <v>0.5-15.8269580344692i</v>
      </c>
      <c r="I113" s="132" t="str">
        <f t="shared" si="4"/>
        <v>0.01-79.1347901723463i</v>
      </c>
      <c r="J113" s="132" t="str">
        <f t="shared" si="5"/>
        <v>0.347490260056427-13.1909452680756i</v>
      </c>
      <c r="K113" s="132"/>
      <c r="L113" s="132" t="str">
        <f t="shared" si="6"/>
        <v>1.35972709219472-0.141582524740442i</v>
      </c>
      <c r="M113" s="132" t="str">
        <f t="shared" si="7"/>
        <v>0.009+0.000947750033034256i</v>
      </c>
      <c r="N113" s="132" t="str">
        <f t="shared" si="8"/>
        <v>0.993563644224175-0.00135375816557616i</v>
      </c>
      <c r="O113" s="185">
        <f t="shared" si="9"/>
        <v>-5.60781028528336E-2</v>
      </c>
      <c r="P113" s="185">
        <f t="shared" si="10"/>
        <v>-7.8067048669426473E-2</v>
      </c>
      <c r="Q113" s="132">
        <f t="shared" si="11"/>
        <v>287.19697970735047</v>
      </c>
      <c r="R113" s="132">
        <f t="shared" si="22"/>
        <v>1.6600000000000006</v>
      </c>
      <c r="S113" s="164">
        <f t="shared" si="12"/>
        <v>14.990875636524184</v>
      </c>
      <c r="T113" s="132" t="str">
        <f t="shared" si="13"/>
        <v>1+0.00399433559376983i</v>
      </c>
      <c r="U113" s="138">
        <f t="shared" si="14"/>
        <v>39.276870081708161</v>
      </c>
      <c r="V113" s="132">
        <f t="shared" si="15"/>
        <v>136.86907978831644</v>
      </c>
      <c r="W113" s="132">
        <f t="shared" si="16"/>
        <v>59.998991928268417</v>
      </c>
      <c r="X113" s="138">
        <f t="shared" si="17"/>
        <v>-0.87316848741542452</v>
      </c>
      <c r="Y113" s="128" t="str">
        <f t="shared" si="18"/>
        <v>999.767840215867-15.2373066192108i</v>
      </c>
      <c r="Z113" s="128" t="str">
        <f t="shared" si="19"/>
        <v>-290160897.298602i</v>
      </c>
      <c r="AA113" s="128" t="str">
        <f t="shared" si="23"/>
        <v>64900-23955070.3615987i</v>
      </c>
      <c r="AB113" s="128" t="str">
        <f t="shared" si="24"/>
        <v>5900-43917628.9962644i</v>
      </c>
      <c r="AC113" s="128" t="str">
        <f t="shared" si="25"/>
        <v>58359.8383307857-22716023.1762086i</v>
      </c>
      <c r="AD113" s="128" t="str">
        <f t="shared" si="26"/>
        <v>109999.27291027-275.513865544278i</v>
      </c>
      <c r="AE113" s="128" t="str">
        <f t="shared" si="27"/>
        <v>-91.3201153133509+56.7505419778277i</v>
      </c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</row>
    <row r="114" spans="1:45" s="166" customFormat="1" x14ac:dyDescent="0.2">
      <c r="A114" s="132">
        <f t="shared" si="0"/>
        <v>54.073</v>
      </c>
      <c r="B114" s="132">
        <f t="shared" si="20"/>
        <v>1.6800000000000008</v>
      </c>
      <c r="C114" s="138">
        <f t="shared" si="21"/>
        <v>47.86300923226392</v>
      </c>
      <c r="D114" s="137">
        <f t="shared" si="1"/>
        <v>54.073211421142261</v>
      </c>
      <c r="E114" s="132">
        <f t="shared" si="2"/>
        <v>135.48914448769364</v>
      </c>
      <c r="G114" s="138"/>
      <c r="H114" s="184" t="str">
        <f t="shared" si="3"/>
        <v>0.5-15.1146275821905i</v>
      </c>
      <c r="I114" s="132" t="str">
        <f t="shared" si="4"/>
        <v>0.01-75.5731379109526i</v>
      </c>
      <c r="J114" s="132" t="str">
        <f t="shared" si="5"/>
        <v>0.347489320393958-12.5974220236064i</v>
      </c>
      <c r="K114" s="132"/>
      <c r="L114" s="132" t="str">
        <f t="shared" si="6"/>
        <v>1.35797349428274-0.148012910562929i</v>
      </c>
      <c r="M114" s="132" t="str">
        <f t="shared" si="7"/>
        <v>0.009+0.000992416116006353i</v>
      </c>
      <c r="N114" s="132" t="str">
        <f t="shared" si="8"/>
        <v>0.993568589056158-0.00141770512820211i</v>
      </c>
      <c r="O114" s="185">
        <f t="shared" si="9"/>
        <v>-5.6034094861026534E-2</v>
      </c>
      <c r="P114" s="185">
        <f t="shared" si="10"/>
        <v>-8.1754260559289693E-2</v>
      </c>
      <c r="Q114" s="132">
        <f t="shared" si="11"/>
        <v>300.73215636556154</v>
      </c>
      <c r="R114" s="132">
        <f t="shared" si="22"/>
        <v>1.6800000000000006</v>
      </c>
      <c r="S114" s="164">
        <f t="shared" si="12"/>
        <v>14.990919644515991</v>
      </c>
      <c r="T114" s="132" t="str">
        <f t="shared" si="13"/>
        <v>1+0.00418258283073223i</v>
      </c>
      <c r="U114" s="138">
        <f t="shared" si="14"/>
        <v>39.082291776626271</v>
      </c>
      <c r="V114" s="132">
        <f t="shared" si="15"/>
        <v>135.57089874825292</v>
      </c>
      <c r="W114" s="132">
        <f t="shared" si="16"/>
        <v>59.998894683701522</v>
      </c>
      <c r="X114" s="138">
        <f t="shared" si="17"/>
        <v>-0.91431282798704294</v>
      </c>
      <c r="Y114" s="128" t="str">
        <f t="shared" si="18"/>
        <v>999.745447558523-15.9550614963922i</v>
      </c>
      <c r="Z114" s="128" t="str">
        <f t="shared" si="19"/>
        <v>-277101505.673493i</v>
      </c>
      <c r="AA114" s="128" t="str">
        <f t="shared" si="23"/>
        <v>64900-22876914.5929486i</v>
      </c>
      <c r="AB114" s="128" t="str">
        <f t="shared" si="24"/>
        <v>5900-41941010.0870724i</v>
      </c>
      <c r="AC114" s="128" t="str">
        <f t="shared" si="25"/>
        <v>58359.838220219-21693634.4706712i</v>
      </c>
      <c r="AD114" s="128" t="str">
        <f t="shared" si="26"/>
        <v>109999.2027625-288.498240148568i</v>
      </c>
      <c r="AE114" s="128" t="str">
        <f t="shared" si="27"/>
        <v>-88.9190252178218+57.8451012218185i</v>
      </c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</row>
    <row r="115" spans="1:45" s="166" customFormat="1" x14ac:dyDescent="0.2">
      <c r="A115" s="132">
        <f t="shared" si="0"/>
        <v>53.869</v>
      </c>
      <c r="B115" s="132">
        <f t="shared" si="20"/>
        <v>1.7000000000000008</v>
      </c>
      <c r="C115" s="138">
        <f t="shared" si="21"/>
        <v>50.11872336272733</v>
      </c>
      <c r="D115" s="137">
        <f t="shared" si="1"/>
        <v>53.869475746454121</v>
      </c>
      <c r="E115" s="132">
        <f t="shared" si="2"/>
        <v>134.18782321752886</v>
      </c>
      <c r="G115" s="138"/>
      <c r="H115" s="184" t="str">
        <f t="shared" si="3"/>
        <v>0.5-14.434357281467i</v>
      </c>
      <c r="I115" s="132" t="str">
        <f t="shared" si="4"/>
        <v>0.01-72.1717864073352i</v>
      </c>
      <c r="J115" s="132" t="str">
        <f t="shared" si="5"/>
        <v>0.347488290080561-12.0306195991943i</v>
      </c>
      <c r="K115" s="132"/>
      <c r="L115" s="132" t="str">
        <f t="shared" si="6"/>
        <v>1.35605734121612-0.154711428296063i</v>
      </c>
      <c r="M115" s="132" t="str">
        <f t="shared" si="7"/>
        <v>0.009+0.00103918724661605i</v>
      </c>
      <c r="N115" s="132" t="str">
        <f t="shared" si="8"/>
        <v>0.993574010054194-0.00148468746429632i</v>
      </c>
      <c r="O115" s="185">
        <f t="shared" si="9"/>
        <v>-5.5985848842837159E-2</v>
      </c>
      <c r="P115" s="185">
        <f t="shared" si="10"/>
        <v>-8.5616432620540181E-2</v>
      </c>
      <c r="Q115" s="132">
        <f t="shared" si="11"/>
        <v>314.90522624728663</v>
      </c>
      <c r="R115" s="132">
        <f t="shared" si="22"/>
        <v>1.7000000000000006</v>
      </c>
      <c r="S115" s="164">
        <f t="shared" si="12"/>
        <v>14.990967890534179</v>
      </c>
      <c r="T115" s="132" t="str">
        <f t="shared" si="13"/>
        <v>1+0.00437970188664726i</v>
      </c>
      <c r="U115" s="138">
        <f t="shared" si="14"/>
        <v>38.878507855919942</v>
      </c>
      <c r="V115" s="132">
        <f t="shared" si="15"/>
        <v>134.27343965014938</v>
      </c>
      <c r="W115" s="132">
        <f t="shared" si="16"/>
        <v>59.998788059656867</v>
      </c>
      <c r="X115" s="138">
        <f t="shared" si="17"/>
        <v>-0.9573952310411441</v>
      </c>
      <c r="Y115" s="128" t="str">
        <f t="shared" si="18"/>
        <v>999.720895650547-16.7065902086854i</v>
      </c>
      <c r="Z115" s="128" t="str">
        <f t="shared" si="19"/>
        <v>-264629883.493562i</v>
      </c>
      <c r="AA115" s="128" t="str">
        <f t="shared" si="23"/>
        <v>64900-21847283.8273115i</v>
      </c>
      <c r="AB115" s="128" t="str">
        <f t="shared" si="24"/>
        <v>5900-40053353.6834045i</v>
      </c>
      <c r="AC115" s="128" t="str">
        <f t="shared" si="25"/>
        <v>58359.8380989849-20717260.8723623i</v>
      </c>
      <c r="AD115" s="128" t="str">
        <f t="shared" si="26"/>
        <v>109999.125847108-302.094520756529i</v>
      </c>
      <c r="AE115" s="128" t="str">
        <f t="shared" si="27"/>
        <v>-86.4288760967406+58.8554155422107i</v>
      </c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</row>
    <row r="116" spans="1:45" s="166" customFormat="1" x14ac:dyDescent="0.2">
      <c r="A116" s="132">
        <f t="shared" si="0"/>
        <v>53.656999999999996</v>
      </c>
      <c r="B116" s="132">
        <f t="shared" si="20"/>
        <v>1.7200000000000006</v>
      </c>
      <c r="C116" s="138">
        <f t="shared" si="21"/>
        <v>52.48074602497735</v>
      </c>
      <c r="D116" s="137">
        <f t="shared" si="1"/>
        <v>53.656555305268363</v>
      </c>
      <c r="E116" s="132">
        <f t="shared" si="2"/>
        <v>132.88987770684773</v>
      </c>
      <c r="G116" s="138"/>
      <c r="H116" s="184" t="str">
        <f t="shared" si="3"/>
        <v>0.5-13.7847041877856i</v>
      </c>
      <c r="I116" s="132" t="str">
        <f t="shared" si="4"/>
        <v>0.01-68.9235209389277i</v>
      </c>
      <c r="J116" s="132" t="str">
        <f t="shared" si="5"/>
        <v>0.347487160371609-11.4893357307535i</v>
      </c>
      <c r="K116" s="132"/>
      <c r="L116" s="132" t="str">
        <f t="shared" si="6"/>
        <v>1.35396424758052-0.161685782417318i</v>
      </c>
      <c r="M116" s="132" t="str">
        <f t="shared" si="7"/>
        <v>0.009+0.00108816263270207i</v>
      </c>
      <c r="N116" s="132" t="str">
        <f t="shared" si="8"/>
        <v>0.99357995297571-0.00155485142583173i</v>
      </c>
      <c r="O116" s="185">
        <f t="shared" si="9"/>
        <v>-5.5932957492986525E-2</v>
      </c>
      <c r="P116" s="185">
        <f t="shared" si="10"/>
        <v>-8.9661985914593664E-2</v>
      </c>
      <c r="Q116" s="132">
        <f t="shared" si="11"/>
        <v>329.74625233396114</v>
      </c>
      <c r="R116" s="132">
        <f t="shared" si="22"/>
        <v>1.7200000000000006</v>
      </c>
      <c r="S116" s="164">
        <f t="shared" si="12"/>
        <v>14.99102078188403</v>
      </c>
      <c r="T116" s="132" t="str">
        <f t="shared" si="13"/>
        <v>1+0.00458611087746073i</v>
      </c>
      <c r="U116" s="138">
        <f t="shared" si="14"/>
        <v>38.665534523384331</v>
      </c>
      <c r="V116" s="132">
        <f t="shared" si="15"/>
        <v>132.97953969276233</v>
      </c>
      <c r="W116" s="132">
        <f t="shared" si="16"/>
        <v>59.998671151725382</v>
      </c>
      <c r="X116" s="138">
        <f t="shared" si="17"/>
        <v>-1.0025068849891445</v>
      </c>
      <c r="Y116" s="128" t="str">
        <f t="shared" si="18"/>
        <v>999.693976404349-17.4934766340611i</v>
      </c>
      <c r="Z116" s="128" t="str">
        <f t="shared" si="19"/>
        <v>-252719576.776069i</v>
      </c>
      <c r="AA116" s="128" t="str">
        <f t="shared" si="23"/>
        <v>64900-20863994.0797885i</v>
      </c>
      <c r="AB116" s="128" t="str">
        <f t="shared" si="24"/>
        <v>5900-38250655.8129456i</v>
      </c>
      <c r="AC116" s="128" t="str">
        <f t="shared" si="25"/>
        <v>58359.8379660547-19784831.3619752i</v>
      </c>
      <c r="AD116" s="128" t="str">
        <f t="shared" si="26"/>
        <v>109999.041511188-316.331541354949i</v>
      </c>
      <c r="AE116" s="128" t="str">
        <f t="shared" si="27"/>
        <v>-83.855747444875+59.7726075394108i</v>
      </c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</row>
    <row r="117" spans="1:45" s="166" customFormat="1" x14ac:dyDescent="0.2">
      <c r="A117" s="132">
        <f t="shared" si="0"/>
        <v>53.435000000000002</v>
      </c>
      <c r="B117" s="132">
        <f t="shared" si="20"/>
        <v>1.7400000000000009</v>
      </c>
      <c r="C117" s="138">
        <f t="shared" si="21"/>
        <v>54.95408738576257</v>
      </c>
      <c r="D117" s="137">
        <f t="shared" si="1"/>
        <v>53.434505441970124</v>
      </c>
      <c r="E117" s="132">
        <f t="shared" si="2"/>
        <v>131.59811159349462</v>
      </c>
      <c r="G117" s="138"/>
      <c r="H117" s="184" t="str">
        <f t="shared" si="3"/>
        <v>0.5-13.1642902998338i</v>
      </c>
      <c r="I117" s="132" t="str">
        <f t="shared" si="4"/>
        <v>0.01-65.8214514991692i</v>
      </c>
      <c r="J117" s="132" t="str">
        <f t="shared" si="5"/>
        <v>0.347485921679066-10.9724222824541i</v>
      </c>
      <c r="K117" s="132"/>
      <c r="L117" s="132" t="str">
        <f t="shared" si="6"/>
        <v>1.35167868923871-0.168943369961017i</v>
      </c>
      <c r="M117" s="132" t="str">
        <f t="shared" si="7"/>
        <v>0.009+0.00113944615762456i</v>
      </c>
      <c r="N117" s="132" t="str">
        <f t="shared" si="8"/>
        <v>0.993586467955973-0.00162835062941353i</v>
      </c>
      <c r="O117" s="185">
        <f t="shared" si="9"/>
        <v>-5.5874974527121181E-2</v>
      </c>
      <c r="P117" s="185">
        <f t="shared" si="10"/>
        <v>-9.3899764251621137E-2</v>
      </c>
      <c r="Q117" s="132">
        <f t="shared" si="11"/>
        <v>345.28671443168639</v>
      </c>
      <c r="R117" s="132">
        <f t="shared" si="22"/>
        <v>1.7400000000000007</v>
      </c>
      <c r="S117" s="164">
        <f t="shared" si="12"/>
        <v>14.991078764849897</v>
      </c>
      <c r="T117" s="132" t="str">
        <f t="shared" si="13"/>
        <v>1+0.00480224762431589i</v>
      </c>
      <c r="U117" s="138">
        <f t="shared" si="14"/>
        <v>38.443426677120229</v>
      </c>
      <c r="V117" s="132">
        <f t="shared" si="15"/>
        <v>131.69201135774625</v>
      </c>
      <c r="W117" s="132">
        <f t="shared" si="16"/>
        <v>59.998542968344573</v>
      </c>
      <c r="X117" s="138">
        <f t="shared" si="17"/>
        <v>-1.0497432536621059</v>
      </c>
      <c r="Y117" s="128" t="str">
        <f t="shared" si="18"/>
        <v>999.664461703527-18.3173781370374i</v>
      </c>
      <c r="Z117" s="128" t="str">
        <f t="shared" si="19"/>
        <v>-241345322.16362i</v>
      </c>
      <c r="AA117" s="128" t="str">
        <f t="shared" si="23"/>
        <v>64900-19924959.6609932i</v>
      </c>
      <c r="AB117" s="128" t="str">
        <f t="shared" si="24"/>
        <v>5900-36529092.7118208i</v>
      </c>
      <c r="AC117" s="128" t="str">
        <f t="shared" si="25"/>
        <v>58359.8378202994-18894368.1315055i</v>
      </c>
      <c r="AD117" s="128" t="str">
        <f t="shared" si="26"/>
        <v>109998.949038847-331.239494204216i</v>
      </c>
      <c r="AE117" s="128" t="str">
        <f t="shared" si="27"/>
        <v>-81.2068550546803+60.5882858385404i</v>
      </c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</row>
    <row r="118" spans="1:45" s="166" customFormat="1" x14ac:dyDescent="0.2">
      <c r="A118" s="132">
        <f t="shared" si="0"/>
        <v>53.203000000000003</v>
      </c>
      <c r="B118" s="132">
        <f t="shared" si="20"/>
        <v>1.7600000000000009</v>
      </c>
      <c r="C118" s="138">
        <f t="shared" si="21"/>
        <v>57.543993733715801</v>
      </c>
      <c r="D118" s="137">
        <f t="shared" si="1"/>
        <v>53.203419320864199</v>
      </c>
      <c r="E118" s="132">
        <f t="shared" si="2"/>
        <v>130.31527469592686</v>
      </c>
      <c r="G118" s="138"/>
      <c r="H118" s="184" t="str">
        <f t="shared" si="3"/>
        <v>0.5-12.5717996365752i</v>
      </c>
      <c r="I118" s="132" t="str">
        <f t="shared" si="4"/>
        <v>0.01-62.858998182876i</v>
      </c>
      <c r="J118" s="132" t="str">
        <f t="shared" si="5"/>
        <v>0.347484563490146-10.4787828113694i</v>
      </c>
      <c r="K118" s="132"/>
      <c r="L118" s="132" t="str">
        <f t="shared" si="6"/>
        <v>1.34918393981503-0.176491181381078i</v>
      </c>
      <c r="M118" s="132" t="str">
        <f t="shared" si="7"/>
        <v>0.009+0.00119314660061559i</v>
      </c>
      <c r="N118" s="132" t="str">
        <f t="shared" si="8"/>
        <v>0.993593609923051-0.00170534647277427i</v>
      </c>
      <c r="O118" s="185">
        <f t="shared" si="9"/>
        <v>-5.5811410985048923E-2</v>
      </c>
      <c r="P118" s="185">
        <f t="shared" si="10"/>
        <v>-9.8339057917624192E-2</v>
      </c>
      <c r="Q118" s="132">
        <f t="shared" si="11"/>
        <v>361.55957594411728</v>
      </c>
      <c r="R118" s="132">
        <f t="shared" si="22"/>
        <v>1.7600000000000007</v>
      </c>
      <c r="S118" s="164">
        <f t="shared" si="12"/>
        <v>14.99114232839197</v>
      </c>
      <c r="T118" s="132" t="str">
        <f t="shared" si="13"/>
        <v>1+0.00502857058223078i</v>
      </c>
      <c r="U118" s="138">
        <f t="shared" si="14"/>
        <v>38.212276992472233</v>
      </c>
      <c r="V118" s="132">
        <f t="shared" si="15"/>
        <v>130.41361375384449</v>
      </c>
      <c r="W118" s="132">
        <f t="shared" si="16"/>
        <v>59.998402422410777</v>
      </c>
      <c r="X118" s="138">
        <f t="shared" si="17"/>
        <v>-1.099204274526083</v>
      </c>
      <c r="Y118" s="128" t="str">
        <f t="shared" si="18"/>
        <v>999.632101480032-19.1800288605692i</v>
      </c>
      <c r="Z118" s="128" t="str">
        <f t="shared" si="19"/>
        <v>-230482993.337212i</v>
      </c>
      <c r="AA118" s="128" t="str">
        <f t="shared" si="23"/>
        <v>64900-19028188.7530247i</v>
      </c>
      <c r="AB118" s="128" t="str">
        <f t="shared" si="24"/>
        <v>5900-34885012.7138785i</v>
      </c>
      <c r="AC118" s="128" t="str">
        <f t="shared" si="25"/>
        <v>58359.8376604817-18043982.3890547i</v>
      </c>
      <c r="AD118" s="128" t="str">
        <f t="shared" si="26"/>
        <v>109998.84764513-346.849993758404i</v>
      </c>
      <c r="AE118" s="128" t="str">
        <f t="shared" si="27"/>
        <v>-78.4905045961297+61.2947180791436i</v>
      </c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</row>
    <row r="119" spans="1:45" s="166" customFormat="1" x14ac:dyDescent="0.2">
      <c r="A119" s="132">
        <f t="shared" si="0"/>
        <v>52.963000000000001</v>
      </c>
      <c r="B119" s="132">
        <f t="shared" si="20"/>
        <v>1.7800000000000007</v>
      </c>
      <c r="C119" s="138">
        <f t="shared" si="21"/>
        <v>60.255958607435872</v>
      </c>
      <c r="D119" s="137">
        <f t="shared" si="1"/>
        <v>52.963426398645169</v>
      </c>
      <c r="E119" s="132">
        <f t="shared" si="2"/>
        <v>129.04403574566027</v>
      </c>
      <c r="G119" s="138"/>
      <c r="H119" s="184" t="str">
        <f t="shared" si="3"/>
        <v>0.5-12.0059754458763i</v>
      </c>
      <c r="I119" s="132" t="str">
        <f t="shared" si="4"/>
        <v>0.01-60.0298772293818i</v>
      </c>
      <c r="J119" s="132" t="str">
        <f t="shared" si="5"/>
        <v>0.347483074278165-10.0073702417687i</v>
      </c>
      <c r="K119" s="132"/>
      <c r="L119" s="132" t="str">
        <f t="shared" si="6"/>
        <v>1.34646200921686-0.184335687685583i</v>
      </c>
      <c r="M119" s="132" t="str">
        <f t="shared" si="7"/>
        <v>0.009+0.00124937786751447i</v>
      </c>
      <c r="N119" s="132" t="str">
        <f t="shared" si="8"/>
        <v>0.993601439051322-0.0017860085810536i</v>
      </c>
      <c r="O119" s="185">
        <f t="shared" si="9"/>
        <v>-5.5741731190115759E-2</v>
      </c>
      <c r="P119" s="185">
        <f t="shared" si="10"/>
        <v>-0.10298962907578835</v>
      </c>
      <c r="Q119" s="132">
        <f t="shared" si="11"/>
        <v>378.59935379226238</v>
      </c>
      <c r="R119" s="132">
        <f t="shared" si="22"/>
        <v>1.7800000000000007</v>
      </c>
      <c r="S119" s="164">
        <f t="shared" si="12"/>
        <v>14.991212008186901</v>
      </c>
      <c r="T119" s="132" t="str">
        <f t="shared" si="13"/>
        <v>1+0.00526555981254279i</v>
      </c>
      <c r="U119" s="138">
        <f t="shared" si="14"/>
        <v>37.972214390458269</v>
      </c>
      <c r="V119" s="132">
        <f t="shared" si="15"/>
        <v>129.14702537473605</v>
      </c>
      <c r="W119" s="132">
        <f t="shared" si="16"/>
        <v>59.998248322086354</v>
      </c>
      <c r="X119" s="138">
        <f t="shared" si="17"/>
        <v>-1.150994565754359</v>
      </c>
      <c r="Y119" s="128" t="str">
        <f t="shared" si="18"/>
        <v>999.596621607754-20.0832431477704i</v>
      </c>
      <c r="Z119" s="128" t="str">
        <f t="shared" si="19"/>
        <v>-220109549.841066i</v>
      </c>
      <c r="AA119" s="128" t="str">
        <f t="shared" si="23"/>
        <v>64900-18171779.184555i</v>
      </c>
      <c r="AB119" s="128" t="str">
        <f t="shared" si="24"/>
        <v>5900-33314928.5050176i</v>
      </c>
      <c r="AC119" s="128" t="str">
        <f t="shared" si="25"/>
        <v>58359.8374852455-17231870.3524499i</v>
      </c>
      <c r="AD119" s="128" t="str">
        <f t="shared" si="26"/>
        <v>109998.736469357-363.196143583982i</v>
      </c>
      <c r="AE119" s="128" t="str">
        <f t="shared" si="27"/>
        <v>-75.7160142103656+61.8849995130407i</v>
      </c>
      <c r="AF119" s="130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</row>
    <row r="120" spans="1:45" s="166" customFormat="1" x14ac:dyDescent="0.2">
      <c r="A120" s="132">
        <f t="shared" si="0"/>
        <v>52.715000000000003</v>
      </c>
      <c r="B120" s="132">
        <f t="shared" si="20"/>
        <v>1.8000000000000009</v>
      </c>
      <c r="C120" s="138">
        <f t="shared" si="21"/>
        <v>63.095734448019471</v>
      </c>
      <c r="D120" s="137">
        <f t="shared" si="1"/>
        <v>52.714690336093021</v>
      </c>
      <c r="E120" s="132">
        <f t="shared" si="2"/>
        <v>127.78695718736121</v>
      </c>
      <c r="G120" s="138"/>
      <c r="H120" s="184" t="str">
        <f t="shared" si="3"/>
        <v>0.5-11.4656175387673i</v>
      </c>
      <c r="I120" s="132" t="str">
        <f t="shared" si="4"/>
        <v>0.01-57.3280876938365i</v>
      </c>
      <c r="J120" s="132" t="str">
        <f t="shared" si="5"/>
        <v>0.347481441404795-9.55718464412581i</v>
      </c>
      <c r="K120" s="132"/>
      <c r="L120" s="132" t="str">
        <f t="shared" si="6"/>
        <v>1.34349358568928-0.192482712643224i</v>
      </c>
      <c r="M120" s="132" t="str">
        <f t="shared" si="7"/>
        <v>0.009+0.00130825923237735i</v>
      </c>
      <c r="N120" s="132" t="str">
        <f t="shared" si="8"/>
        <v>0.993610021256959-0.00187051528573089i</v>
      </c>
      <c r="O120" s="185">
        <f t="shared" si="9"/>
        <v>-5.5665348334093472E-2</v>
      </c>
      <c r="P120" s="185">
        <f t="shared" si="10"/>
        <v>-0.10786173900106727</v>
      </c>
      <c r="Q120" s="132">
        <f t="shared" si="11"/>
        <v>396.44219162950083</v>
      </c>
      <c r="R120" s="132">
        <f t="shared" si="22"/>
        <v>1.8000000000000007</v>
      </c>
      <c r="S120" s="164">
        <f t="shared" si="12"/>
        <v>14.991288391042923</v>
      </c>
      <c r="T120" s="132" t="str">
        <f t="shared" si="13"/>
        <v>1+0.0055137180011831i</v>
      </c>
      <c r="U120" s="138">
        <f t="shared" si="14"/>
        <v>37.723401945050099</v>
      </c>
      <c r="V120" s="132">
        <f t="shared" si="15"/>
        <v>127.89481892636228</v>
      </c>
      <c r="W120" s="132">
        <f t="shared" si="16"/>
        <v>59.998079360725043</v>
      </c>
      <c r="X120" s="138">
        <f t="shared" si="17"/>
        <v>-1.205223642502252</v>
      </c>
      <c r="Y120" s="128" t="str">
        <f t="shared" si="18"/>
        <v>999.557721595189-21.0289190958571i</v>
      </c>
      <c r="Z120" s="128" t="str">
        <f t="shared" si="19"/>
        <v>-210202988.210734i</v>
      </c>
      <c r="AA120" s="128" t="str">
        <f t="shared" si="23"/>
        <v>64900-17353914.3960687i</v>
      </c>
      <c r="AB120" s="128" t="str">
        <f t="shared" si="24"/>
        <v>5900-31815509.726126i</v>
      </c>
      <c r="AC120" s="128" t="str">
        <f t="shared" si="25"/>
        <v>58359.8372931027-16456309.4231798i</v>
      </c>
      <c r="AD120" s="128" t="str">
        <f t="shared" si="26"/>
        <v>109998.614567817-380.312606416423i</v>
      </c>
      <c r="AE120" s="128" t="str">
        <f t="shared" si="27"/>
        <v>-72.8936064442787+62.3532108239137i</v>
      </c>
      <c r="AF120" s="130"/>
      <c r="AG120" s="130"/>
      <c r="AH120" s="130"/>
      <c r="AI120" s="130"/>
      <c r="AJ120" s="130"/>
      <c r="AK120" s="130"/>
      <c r="AL120" s="130"/>
      <c r="AM120" s="130"/>
      <c r="AN120" s="130"/>
      <c r="AO120" s="130"/>
      <c r="AP120" s="130"/>
      <c r="AQ120" s="130"/>
      <c r="AR120" s="130"/>
      <c r="AS120" s="130"/>
    </row>
    <row r="121" spans="1:45" s="166" customFormat="1" x14ac:dyDescent="0.2">
      <c r="A121" s="132">
        <f t="shared" si="0"/>
        <v>52.457000000000001</v>
      </c>
      <c r="B121" s="132">
        <f t="shared" si="20"/>
        <v>1.820000000000001</v>
      </c>
      <c r="C121" s="138">
        <f t="shared" si="21"/>
        <v>66.069344800759737</v>
      </c>
      <c r="D121" s="137">
        <f t="shared" si="1"/>
        <v>52.457406420100313</v>
      </c>
      <c r="E121" s="132">
        <f t="shared" si="2"/>
        <v>126.54647260810157</v>
      </c>
      <c r="G121" s="138"/>
      <c r="H121" s="184" t="str">
        <f t="shared" si="3"/>
        <v>0.5-10.9495797436801i</v>
      </c>
      <c r="I121" s="132" t="str">
        <f t="shared" si="4"/>
        <v>0.01-54.7478987184005i</v>
      </c>
      <c r="J121" s="132" t="str">
        <f t="shared" si="5"/>
        <v>0.347479651012898-9.12727111412906i</v>
      </c>
      <c r="K121" s="132"/>
      <c r="L121" s="132" t="str">
        <f t="shared" si="6"/>
        <v>1.3402579832085-0.20093728888825i</v>
      </c>
      <c r="M121" s="132" t="str">
        <f t="shared" si="7"/>
        <v>0.009+0.00136991559047348i</v>
      </c>
      <c r="N121" s="132" t="str">
        <f t="shared" si="8"/>
        <v>0.993619428739065-0.00195905413942516i</v>
      </c>
      <c r="O121" s="185">
        <f t="shared" si="9"/>
        <v>-5.558161965463531E-2</v>
      </c>
      <c r="P121" s="185">
        <f t="shared" si="10"/>
        <v>-0.11296617732595329</v>
      </c>
      <c r="Q121" s="132">
        <f t="shared" si="11"/>
        <v>415.12593650711557</v>
      </c>
      <c r="R121" s="132">
        <f t="shared" si="22"/>
        <v>1.8200000000000007</v>
      </c>
      <c r="S121" s="164">
        <f t="shared" si="12"/>
        <v>14.991372119722381</v>
      </c>
      <c r="T121" s="132" t="str">
        <f t="shared" si="13"/>
        <v>1+0.00577357152494096i</v>
      </c>
      <c r="U121" s="138">
        <f t="shared" si="14"/>
        <v>37.466034300377935</v>
      </c>
      <c r="V121" s="132">
        <f t="shared" si="15"/>
        <v>126.65943878542753</v>
      </c>
      <c r="W121" s="132">
        <f t="shared" si="16"/>
        <v>59.997894105831342</v>
      </c>
      <c r="X121" s="138">
        <f t="shared" si="17"/>
        <v>-1.262006142736215</v>
      </c>
      <c r="Y121" s="128" t="str">
        <f t="shared" si="18"/>
        <v>999.515072058275-22.0190422442713i</v>
      </c>
      <c r="Z121" s="128" t="str">
        <f t="shared" si="19"/>
        <v>-200742295.300802i</v>
      </c>
      <c r="AA121" s="128" t="str">
        <f t="shared" si="23"/>
        <v>64900-16572859.5866963i</v>
      </c>
      <c r="AB121" s="128" t="str">
        <f t="shared" si="24"/>
        <v>5900-30383575.9089432i</v>
      </c>
      <c r="AC121" s="128" t="str">
        <f t="shared" si="25"/>
        <v>58359.8370824222-15715654.5325322i</v>
      </c>
      <c r="AD121" s="128" t="str">
        <f t="shared" si="26"/>
        <v>109998.480905764-398.235677500244i</v>
      </c>
      <c r="AE121" s="128" t="str">
        <f t="shared" si="27"/>
        <v>-70.0342713501992+62.694558767i</v>
      </c>
      <c r="AF121" s="130"/>
      <c r="AG121" s="130"/>
      <c r="AH121" s="130"/>
      <c r="AI121" s="130"/>
      <c r="AJ121" s="130"/>
      <c r="AK121" s="130"/>
      <c r="AL121" s="130"/>
      <c r="AM121" s="130"/>
      <c r="AN121" s="130"/>
      <c r="AO121" s="130"/>
      <c r="AP121" s="130"/>
      <c r="AQ121" s="130"/>
      <c r="AR121" s="130"/>
      <c r="AS121" s="130"/>
    </row>
    <row r="122" spans="1:45" s="166" customFormat="1" x14ac:dyDescent="0.2">
      <c r="A122" s="132">
        <f t="shared" si="0"/>
        <v>52.192</v>
      </c>
      <c r="B122" s="132">
        <f t="shared" si="20"/>
        <v>1.8400000000000007</v>
      </c>
      <c r="C122" s="138">
        <f t="shared" si="21"/>
        <v>69.183097091893785</v>
      </c>
      <c r="D122" s="137">
        <f t="shared" si="1"/>
        <v>52.191798580813156</v>
      </c>
      <c r="E122" s="132">
        <f t="shared" si="2"/>
        <v>125.32486724161897</v>
      </c>
      <c r="G122" s="138"/>
      <c r="H122" s="184" t="str">
        <f t="shared" si="3"/>
        <v>0.5-10.456767475265i</v>
      </c>
      <c r="I122" s="132" t="str">
        <f t="shared" si="4"/>
        <v>0.01-52.283837376325i</v>
      </c>
      <c r="J122" s="132" t="str">
        <f t="shared" si="5"/>
        <v>0.347477687909045-8.71671774719549i</v>
      </c>
      <c r="K122" s="132"/>
      <c r="L122" s="132" t="str">
        <f t="shared" si="6"/>
        <v>1.33673309636611-0.209703496820331i</v>
      </c>
      <c r="M122" s="132" t="str">
        <f t="shared" si="7"/>
        <v>0.009+0.00143447772320479i</v>
      </c>
      <c r="N122" s="132" t="str">
        <f t="shared" si="8"/>
        <v>0.993629740570457-0.00205182247018091i</v>
      </c>
      <c r="O122" s="185">
        <f t="shared" si="9"/>
        <v>-5.5489841169550677E-2</v>
      </c>
      <c r="P122" s="185">
        <f t="shared" si="10"/>
        <v>-0.11831429349758554</v>
      </c>
      <c r="Q122" s="132">
        <f t="shared" si="11"/>
        <v>434.69021915296577</v>
      </c>
      <c r="R122" s="132">
        <f t="shared" si="22"/>
        <v>1.8400000000000007</v>
      </c>
      <c r="S122" s="164">
        <f t="shared" si="12"/>
        <v>14.991463898207467</v>
      </c>
      <c r="T122" s="132" t="str">
        <f t="shared" si="13"/>
        <v>1+0.00604567156797945i</v>
      </c>
      <c r="U122" s="138">
        <f t="shared" si="14"/>
        <v>37.200334682605686</v>
      </c>
      <c r="V122" s="132">
        <f t="shared" si="15"/>
        <v>125.44318153511657</v>
      </c>
      <c r="W122" s="132">
        <f t="shared" si="16"/>
        <v>59.997690986961985</v>
      </c>
      <c r="X122" s="138">
        <f t="shared" si="17"/>
        <v>-1.3214620629732794</v>
      </c>
      <c r="Y122" s="128" t="str">
        <f t="shared" si="18"/>
        <v>999.468311952747-23.0556893984082i</v>
      </c>
      <c r="Z122" s="128" t="str">
        <f t="shared" si="19"/>
        <v>-191707403.713192i</v>
      </c>
      <c r="AA122" s="128" t="str">
        <f t="shared" si="23"/>
        <v>64900-15826958.0344692i</v>
      </c>
      <c r="AB122" s="128" t="str">
        <f t="shared" si="24"/>
        <v>5900-29016089.7298602i</v>
      </c>
      <c r="AC122" s="128" t="str">
        <f t="shared" si="25"/>
        <v>58359.8368514159-15008334.6521824i</v>
      </c>
      <c r="AD122" s="128" t="str">
        <f t="shared" si="26"/>
        <v>109998.334348631-417.003361364523i</v>
      </c>
      <c r="AE122" s="128" t="str">
        <f t="shared" si="27"/>
        <v>-67.149604088611+62.9054936065503i</v>
      </c>
      <c r="AF122" s="130"/>
      <c r="AG122" s="130"/>
      <c r="AH122" s="130"/>
      <c r="AI122" s="130"/>
      <c r="AJ122" s="130"/>
      <c r="AK122" s="130"/>
      <c r="AL122" s="130"/>
      <c r="AM122" s="130"/>
      <c r="AN122" s="130"/>
      <c r="AO122" s="130"/>
      <c r="AP122" s="130"/>
      <c r="AQ122" s="130"/>
      <c r="AR122" s="130"/>
      <c r="AS122" s="130"/>
    </row>
    <row r="123" spans="1:45" s="166" customFormat="1" x14ac:dyDescent="0.2">
      <c r="A123" s="132">
        <f t="shared" si="0"/>
        <v>51.917999999999999</v>
      </c>
      <c r="B123" s="132">
        <f t="shared" si="20"/>
        <v>1.8600000000000008</v>
      </c>
      <c r="C123" s="138">
        <f t="shared" si="21"/>
        <v>72.443596007499139</v>
      </c>
      <c r="D123" s="137">
        <f t="shared" si="1"/>
        <v>51.918116097708683</v>
      </c>
      <c r="E123" s="132">
        <f t="shared" si="2"/>
        <v>124.1242618640953</v>
      </c>
      <c r="G123" s="138"/>
      <c r="H123" s="184" t="str">
        <f t="shared" si="3"/>
        <v>0.5-9.98613541262815i</v>
      </c>
      <c r="I123" s="132" t="str">
        <f t="shared" si="4"/>
        <v>0.01-49.9306770631408i</v>
      </c>
      <c r="J123" s="132" t="str">
        <f t="shared" si="5"/>
        <v>0.347475535434706-8.32465370419225i</v>
      </c>
      <c r="K123" s="132"/>
      <c r="L123" s="132" t="str">
        <f t="shared" si="6"/>
        <v>1.33289536527937-0.218784285320493i</v>
      </c>
      <c r="M123" s="132" t="str">
        <f t="shared" si="7"/>
        <v>0.009+0.00150208257551079i</v>
      </c>
      <c r="N123" s="132" t="str">
        <f t="shared" si="8"/>
        <v>0.993641043342358-0.00214902797927392i</v>
      </c>
      <c r="O123" s="185">
        <f t="shared" si="9"/>
        <v>-5.5389241929637185E-2</v>
      </c>
      <c r="P123" s="185">
        <f t="shared" si="10"/>
        <v>-0.12391803066903671</v>
      </c>
      <c r="Q123" s="132">
        <f t="shared" si="11"/>
        <v>455.17653803357234</v>
      </c>
      <c r="R123" s="132">
        <f t="shared" si="22"/>
        <v>1.8600000000000008</v>
      </c>
      <c r="S123" s="164">
        <f t="shared" si="12"/>
        <v>14.991564497447378</v>
      </c>
      <c r="T123" s="132" t="str">
        <f t="shared" si="13"/>
        <v>1+0.00633059529097092i</v>
      </c>
      <c r="U123" s="138">
        <f t="shared" si="14"/>
        <v>36.926551600261305</v>
      </c>
      <c r="V123" s="132">
        <f t="shared" si="15"/>
        <v>124.24817989476433</v>
      </c>
      <c r="W123" s="132">
        <f t="shared" si="16"/>
        <v>59.997468282468787</v>
      </c>
      <c r="X123" s="138">
        <f t="shared" si="17"/>
        <v>-1.3837170042898392</v>
      </c>
      <c r="Y123" s="128" t="str">
        <f t="shared" si="18"/>
        <v>999.417045543475-24.1410325897202i</v>
      </c>
      <c r="Z123" s="128" t="str">
        <f t="shared" si="19"/>
        <v>-183079149.231516i</v>
      </c>
      <c r="AA123" s="128" t="str">
        <f t="shared" si="23"/>
        <v>64900-15114627.5821905i</v>
      </c>
      <c r="AB123" s="128" t="str">
        <f t="shared" si="24"/>
        <v>5900-27710150.5673493i</v>
      </c>
      <c r="AC123" s="128" t="str">
        <f t="shared" si="25"/>
        <v>58359.836598122-14332849.4618325i</v>
      </c>
      <c r="AD123" s="128" t="str">
        <f t="shared" si="26"/>
        <v>109998.173652403-436.655452192691i</v>
      </c>
      <c r="AE123" s="128" t="str">
        <f t="shared" si="27"/>
        <v>-64.2516217863511+62.9837981075937i</v>
      </c>
      <c r="AF123" s="130"/>
      <c r="AG123" s="130"/>
      <c r="AH123" s="130"/>
      <c r="AI123" s="130"/>
      <c r="AJ123" s="130"/>
      <c r="AK123" s="130"/>
      <c r="AL123" s="130"/>
      <c r="AM123" s="130"/>
      <c r="AN123" s="130"/>
      <c r="AO123" s="130"/>
      <c r="AP123" s="130"/>
      <c r="AQ123" s="130"/>
      <c r="AR123" s="130"/>
      <c r="AS123" s="130"/>
    </row>
    <row r="124" spans="1:45" s="166" customFormat="1" x14ac:dyDescent="0.2">
      <c r="A124" s="132">
        <f t="shared" si="0"/>
        <v>51.637</v>
      </c>
      <c r="B124" s="132">
        <f t="shared" si="20"/>
        <v>1.880000000000001</v>
      </c>
      <c r="C124" s="138">
        <f t="shared" si="21"/>
        <v>75.85775750291856</v>
      </c>
      <c r="D124" s="137">
        <f t="shared" si="1"/>
        <v>51.636630092669385</v>
      </c>
      <c r="E124" s="132">
        <f t="shared" si="2"/>
        <v>122.94660026342071</v>
      </c>
      <c r="G124" s="138"/>
      <c r="H124" s="184" t="str">
        <f t="shared" si="3"/>
        <v>0.5-9.53668528206596i</v>
      </c>
      <c r="I124" s="132" t="str">
        <f t="shared" si="4"/>
        <v>0.01-47.68342641033i</v>
      </c>
      <c r="J124" s="132" t="str">
        <f t="shared" si="5"/>
        <v>0.347473175325066-7.95024736426263i</v>
      </c>
      <c r="K124" s="132"/>
      <c r="L124" s="132" t="str">
        <f t="shared" si="6"/>
        <v>1.32871975347957-0.22818127349782i</v>
      </c>
      <c r="M124" s="132" t="str">
        <f t="shared" si="7"/>
        <v>0.009+0.00157287354634717i</v>
      </c>
      <c r="N124" s="132" t="str">
        <f t="shared" si="8"/>
        <v>0.993653431867595-0.00225088938709489i</v>
      </c>
      <c r="O124" s="185">
        <f t="shared" si="9"/>
        <v>-5.5278977748884586E-2</v>
      </c>
      <c r="P124" s="185">
        <f t="shared" si="10"/>
        <v>-0.1297899622763577</v>
      </c>
      <c r="Q124" s="132">
        <f t="shared" si="11"/>
        <v>476.62834737792991</v>
      </c>
      <c r="R124" s="132">
        <f t="shared" si="22"/>
        <v>1.8800000000000008</v>
      </c>
      <c r="S124" s="164">
        <f t="shared" si="12"/>
        <v>14.991674761628133</v>
      </c>
      <c r="T124" s="132" t="str">
        <f t="shared" si="13"/>
        <v>1+0.00662894705533225i</v>
      </c>
      <c r="U124" s="138">
        <f t="shared" si="14"/>
        <v>36.644955331041253</v>
      </c>
      <c r="V124" s="132">
        <f t="shared" si="15"/>
        <v>123.07639022569707</v>
      </c>
      <c r="W124" s="132">
        <f t="shared" si="16"/>
        <v>59.997224104973142</v>
      </c>
      <c r="X124" s="138">
        <f t="shared" si="17"/>
        <v>-1.4489024289599037</v>
      </c>
      <c r="Y124" s="128" t="str">
        <f t="shared" si="18"/>
        <v>999.360839086231-25.2773431721887i</v>
      </c>
      <c r="Z124" s="128" t="str">
        <f t="shared" si="19"/>
        <v>-174839230.17121i</v>
      </c>
      <c r="AA124" s="128" t="str">
        <f t="shared" si="23"/>
        <v>64900-14434357.281467i</v>
      </c>
      <c r="AB124" s="128" t="str">
        <f t="shared" si="24"/>
        <v>5900-26462988.3493562i</v>
      </c>
      <c r="AC124" s="128" t="str">
        <f t="shared" si="25"/>
        <v>58359.8363203913-13687766.1668296i</v>
      </c>
      <c r="AD124" s="128" t="str">
        <f t="shared" si="26"/>
        <v>109997.997453061-457.233617952453i</v>
      </c>
      <c r="AE124" s="128" t="str">
        <f t="shared" si="27"/>
        <v>-61.3525656019902+62.9286439849487i</v>
      </c>
      <c r="AF124" s="130"/>
      <c r="AG124" s="130"/>
      <c r="AH124" s="130"/>
      <c r="AI124" s="130"/>
      <c r="AJ124" s="130"/>
      <c r="AK124" s="130"/>
      <c r="AL124" s="130"/>
      <c r="AM124" s="130"/>
      <c r="AN124" s="130"/>
      <c r="AO124" s="130"/>
      <c r="AP124" s="130"/>
      <c r="AQ124" s="130"/>
      <c r="AR124" s="130"/>
      <c r="AS124" s="130"/>
    </row>
    <row r="125" spans="1:45" s="166" customFormat="1" x14ac:dyDescent="0.2">
      <c r="A125" s="132">
        <f t="shared" si="0"/>
        <v>51.347999999999999</v>
      </c>
      <c r="B125" s="132">
        <f t="shared" si="20"/>
        <v>1.900000000000001</v>
      </c>
      <c r="C125" s="138">
        <f t="shared" si="21"/>
        <v>79.432823472428325</v>
      </c>
      <c r="D125" s="137">
        <f t="shared" si="1"/>
        <v>51.347629907703976</v>
      </c>
      <c r="E125" s="132">
        <f t="shared" si="2"/>
        <v>121.79364033221373</v>
      </c>
      <c r="G125" s="138"/>
      <c r="H125" s="184" t="str">
        <f t="shared" si="3"/>
        <v>0.5-9.10746373959281i</v>
      </c>
      <c r="I125" s="132" t="str">
        <f t="shared" si="4"/>
        <v>0.01-45.5373186979638i</v>
      </c>
      <c r="J125" s="132" t="str">
        <f t="shared" si="5"/>
        <v>0.347470587554221-7.59270456083806i</v>
      </c>
      <c r="K125" s="132"/>
      <c r="L125" s="132" t="str">
        <f t="shared" si="6"/>
        <v>1.32417974217494-0.23789453295909i</v>
      </c>
      <c r="M125" s="132" t="str">
        <f t="shared" si="7"/>
        <v>0.009+0.00164700079285418i</v>
      </c>
      <c r="N125" s="132" t="str">
        <f t="shared" si="8"/>
        <v>0.993667009947212-0.00235763713220755i</v>
      </c>
      <c r="O125" s="185">
        <f t="shared" si="9"/>
        <v>-5.5158124367897507E-2</v>
      </c>
      <c r="P125" s="185">
        <f t="shared" si="10"/>
        <v>-0.13594333158234587</v>
      </c>
      <c r="Q125" s="132">
        <f t="shared" si="11"/>
        <v>499.09114934975139</v>
      </c>
      <c r="R125" s="132">
        <f t="shared" si="22"/>
        <v>1.9000000000000008</v>
      </c>
      <c r="S125" s="164">
        <f t="shared" si="12"/>
        <v>14.991795615009121</v>
      </c>
      <c r="T125" s="132" t="str">
        <f t="shared" si="13"/>
        <v>1+0.00694135970515634i</v>
      </c>
      <c r="U125" s="138">
        <f t="shared" si="14"/>
        <v>36.355834292694851</v>
      </c>
      <c r="V125" s="132">
        <f t="shared" si="15"/>
        <v>121.92958366379607</v>
      </c>
      <c r="W125" s="132">
        <f t="shared" si="16"/>
        <v>59.99695638545154</v>
      </c>
      <c r="X125" s="138">
        <f t="shared" si="17"/>
        <v>-1.517155928081555</v>
      </c>
      <c r="Y125" s="128" t="str">
        <f t="shared" si="18"/>
        <v>999.299217195098-26.4669960542114i</v>
      </c>
      <c r="Z125" s="128" t="str">
        <f t="shared" si="19"/>
        <v>-166970168.559201i</v>
      </c>
      <c r="AA125" s="128" t="str">
        <f t="shared" si="23"/>
        <v>64900-13784704.1877855i</v>
      </c>
      <c r="AB125" s="128" t="str">
        <f t="shared" si="24"/>
        <v>5900-25271957.6776069i</v>
      </c>
      <c r="AC125" s="128" t="str">
        <f t="shared" si="25"/>
        <v>58359.8360158655-13071716.4590174i</v>
      </c>
      <c r="AD125" s="128" t="str">
        <f t="shared" si="26"/>
        <v>109997.804255008-478.781488458918i</v>
      </c>
      <c r="AE125" s="128" t="str">
        <f t="shared" si="27"/>
        <v>-58.4646948300874+62.7406131573041i</v>
      </c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</row>
    <row r="126" spans="1:45" s="166" customFormat="1" x14ac:dyDescent="0.2">
      <c r="A126" s="132">
        <f t="shared" si="0"/>
        <v>51.051000000000002</v>
      </c>
      <c r="B126" s="132">
        <f t="shared" si="20"/>
        <v>1.9200000000000008</v>
      </c>
      <c r="C126" s="138">
        <f t="shared" si="21"/>
        <v>83.176377110267268</v>
      </c>
      <c r="D126" s="137">
        <f t="shared" si="1"/>
        <v>51.051419460360037</v>
      </c>
      <c r="E126" s="132">
        <f t="shared" si="2"/>
        <v>120.66694871297003</v>
      </c>
      <c r="G126" s="138"/>
      <c r="H126" s="184" t="str">
        <f t="shared" si="3"/>
        <v>0.5-8.69756034877018i</v>
      </c>
      <c r="I126" s="132" t="str">
        <f t="shared" si="4"/>
        <v>0.01-43.4878017438509i</v>
      </c>
      <c r="J126" s="132" t="str">
        <f t="shared" si="5"/>
        <v>0.347467750165506-7.25126689709387i</v>
      </c>
      <c r="K126" s="132"/>
      <c r="L126" s="132" t="str">
        <f t="shared" si="6"/>
        <v>1.31924734474771-0.247922350471575i</v>
      </c>
      <c r="M126" s="132" t="str">
        <f t="shared" si="7"/>
        <v>0.009+0.00172462154886008i</v>
      </c>
      <c r="N126" s="132" t="str">
        <f t="shared" si="8"/>
        <v>0.99368189120573-0.00246951412932737i</v>
      </c>
      <c r="O126" s="185">
        <f t="shared" si="9"/>
        <v>-5.5025670003533173E-2</v>
      </c>
      <c r="P126" s="185">
        <f t="shared" si="10"/>
        <v>-0.14239209450351745</v>
      </c>
      <c r="Q126" s="132">
        <f t="shared" si="11"/>
        <v>522.61259056365975</v>
      </c>
      <c r="R126" s="132">
        <f t="shared" si="22"/>
        <v>1.9200000000000008</v>
      </c>
      <c r="S126" s="164">
        <f t="shared" si="12"/>
        <v>14.991928069373483</v>
      </c>
      <c r="T126" s="132" t="str">
        <f t="shared" si="13"/>
        <v>1+0.00726849590955938i</v>
      </c>
      <c r="U126" s="138">
        <f t="shared" si="14"/>
        <v>36.059491390986551</v>
      </c>
      <c r="V126" s="132">
        <f t="shared" si="15"/>
        <v>120.80934080747355</v>
      </c>
      <c r="W126" s="132">
        <f t="shared" si="16"/>
        <v>59.996662855800778</v>
      </c>
      <c r="X126" s="138">
        <f t="shared" si="17"/>
        <v>-1.588621500546741</v>
      </c>
      <c r="Y126" s="128" t="str">
        <f t="shared" si="18"/>
        <v>999.231658866353-27.712474063839i</v>
      </c>
      <c r="Z126" s="128" t="str">
        <f t="shared" si="19"/>
        <v>-159455273.060786i</v>
      </c>
      <c r="AA126" s="128" t="str">
        <f t="shared" si="23"/>
        <v>64900-13164290.2998338i</v>
      </c>
      <c r="AB126" s="128" t="str">
        <f t="shared" si="24"/>
        <v>5900-24134532.216362i</v>
      </c>
      <c r="AC126" s="128" t="str">
        <f t="shared" si="25"/>
        <v>58359.8356819591-12483393.6143703i</v>
      </c>
      <c r="AD126" s="128" t="str">
        <f t="shared" si="26"/>
        <v>109997.592418377-501.344747551681i</v>
      </c>
      <c r="AE126" s="128" t="str">
        <f t="shared" si="27"/>
        <v>-55.6000803577277+62.4216827972782i</v>
      </c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</row>
    <row r="127" spans="1:45" s="166" customFormat="1" x14ac:dyDescent="0.2">
      <c r="A127" s="132">
        <f t="shared" si="0"/>
        <v>50.747999999999998</v>
      </c>
      <c r="B127" s="132">
        <f t="shared" si="20"/>
        <v>1.9400000000000013</v>
      </c>
      <c r="C127" s="138">
        <f t="shared" si="21"/>
        <v>87.096358995608313</v>
      </c>
      <c r="D127" s="137">
        <f t="shared" si="1"/>
        <v>50.748313661810684</v>
      </c>
      <c r="E127" s="132">
        <f t="shared" si="2"/>
        <v>119.56789881735476</v>
      </c>
      <c r="G127" s="138"/>
      <c r="H127" s="184" t="str">
        <f t="shared" si="3"/>
        <v>0.5-8.30610564954951i</v>
      </c>
      <c r="I127" s="132" t="str">
        <f t="shared" si="4"/>
        <v>0.01-41.5305282477475i</v>
      </c>
      <c r="J127" s="132" t="str">
        <f t="shared" si="5"/>
        <v>0.347464639085448-6.92521013727702i</v>
      </c>
      <c r="K127" s="132"/>
      <c r="L127" s="132" t="str">
        <f t="shared" si="6"/>
        <v>1.3138931458122-0.25826097138561i</v>
      </c>
      <c r="M127" s="132" t="str">
        <f t="shared" si="7"/>
        <v>0.009+0.00180590045839515i</v>
      </c>
      <c r="N127" s="132" t="str">
        <f t="shared" si="8"/>
        <v>0.993698200000626-0.00258677659267988i</v>
      </c>
      <c r="O127" s="185">
        <f t="shared" si="9"/>
        <v>-5.4880507234548528E-2</v>
      </c>
      <c r="P127" s="185">
        <f t="shared" si="10"/>
        <v>-0.14915096607564582</v>
      </c>
      <c r="Q127" s="132">
        <f t="shared" si="11"/>
        <v>547.2425631500447</v>
      </c>
      <c r="R127" s="132">
        <f t="shared" si="22"/>
        <v>1.9400000000000008</v>
      </c>
      <c r="S127" s="164">
        <f t="shared" si="12"/>
        <v>14.992073232142468</v>
      </c>
      <c r="T127" s="132" t="str">
        <f t="shared" si="13"/>
        <v>1+0.00761104956829082i</v>
      </c>
      <c r="U127" s="138">
        <f t="shared" si="14"/>
        <v>35.756240429668217</v>
      </c>
      <c r="V127" s="132">
        <f t="shared" si="15"/>
        <v>119.71704978343041</v>
      </c>
      <c r="W127" s="132">
        <f t="shared" si="16"/>
        <v>59.99634102973954</v>
      </c>
      <c r="X127" s="138">
        <f t="shared" si="17"/>
        <v>-1.6634498437019181</v>
      </c>
      <c r="Y127" s="128" t="str">
        <f t="shared" si="18"/>
        <v>999.157593127099-29.0163724439609i</v>
      </c>
      <c r="Z127" s="128" t="str">
        <f t="shared" si="19"/>
        <v>-152278603.575074i</v>
      </c>
      <c r="AA127" s="128" t="str">
        <f t="shared" si="23"/>
        <v>64900-12571799.6365752i</v>
      </c>
      <c r="AB127" s="128" t="str">
        <f t="shared" si="24"/>
        <v>5900-23048299.3337212i</v>
      </c>
      <c r="AC127" s="128" t="str">
        <f t="shared" si="25"/>
        <v>58359.8353158389-11921549.7212571i</v>
      </c>
      <c r="AD127" s="128" t="str">
        <f t="shared" si="26"/>
        <v>109997.360145118-524.97122957426i</v>
      </c>
      <c r="AE127" s="128" t="str">
        <f t="shared" si="27"/>
        <v>-52.7704048262552+61.975174887802i</v>
      </c>
      <c r="AF127" s="130"/>
      <c r="AG127" s="130"/>
      <c r="AH127" s="130"/>
      <c r="AI127" s="130"/>
      <c r="AJ127" s="130"/>
      <c r="AK127" s="130"/>
      <c r="AL127" s="130"/>
      <c r="AM127" s="130"/>
      <c r="AN127" s="130"/>
      <c r="AO127" s="130"/>
      <c r="AP127" s="130"/>
      <c r="AQ127" s="130"/>
      <c r="AR127" s="130"/>
      <c r="AS127" s="130"/>
    </row>
    <row r="128" spans="1:45" s="166" customFormat="1" x14ac:dyDescent="0.2">
      <c r="A128" s="132">
        <f t="shared" si="0"/>
        <v>50.439</v>
      </c>
      <c r="B128" s="132">
        <f t="shared" si="20"/>
        <v>1.9600000000000011</v>
      </c>
      <c r="C128" s="138">
        <f t="shared" si="21"/>
        <v>91.201083935591214</v>
      </c>
      <c r="D128" s="137">
        <f t="shared" si="1"/>
        <v>50.43863497188611</v>
      </c>
      <c r="E128" s="132">
        <f t="shared" si="2"/>
        <v>118.49767195452738</v>
      </c>
      <c r="G128" s="138"/>
      <c r="H128" s="184" t="str">
        <f t="shared" si="3"/>
        <v>0.5-7.93226931403055i</v>
      </c>
      <c r="I128" s="132" t="str">
        <f t="shared" si="4"/>
        <v>0.01-39.6613465701528i</v>
      </c>
      <c r="J128" s="132" t="str">
        <f t="shared" si="5"/>
        <v>0.347461227919892-6.61384267049148i</v>
      </c>
      <c r="K128" s="132"/>
      <c r="L128" s="132" t="str">
        <f t="shared" si="6"/>
        <v>1.30808636961278-0.268904324816211i</v>
      </c>
      <c r="M128" s="132" t="str">
        <f t="shared" si="7"/>
        <v>0.009+0.00189100992492376i</v>
      </c>
      <c r="N128" s="132" t="str">
        <f t="shared" si="8"/>
        <v>0.993716072411944-0.00270969493200122i</v>
      </c>
      <c r="O128" s="185">
        <f t="shared" si="9"/>
        <v>-5.4721424169924177E-2</v>
      </c>
      <c r="P128" s="185">
        <f t="shared" si="10"/>
        <v>-0.15623547095700024</v>
      </c>
      <c r="Q128" s="132">
        <f t="shared" si="11"/>
        <v>573.03331058295896</v>
      </c>
      <c r="R128" s="132">
        <f t="shared" si="22"/>
        <v>1.9600000000000009</v>
      </c>
      <c r="S128" s="164">
        <f t="shared" si="12"/>
        <v>14.992232315207092</v>
      </c>
      <c r="T128" s="132" t="str">
        <f t="shared" si="13"/>
        <v>1+0.00796974728358779i</v>
      </c>
      <c r="U128" s="138">
        <f t="shared" si="14"/>
        <v>35.44640265667902</v>
      </c>
      <c r="V128" s="132">
        <f t="shared" si="15"/>
        <v>118.65390742548438</v>
      </c>
      <c r="W128" s="132">
        <f t="shared" si="16"/>
        <v>59.995988181888862</v>
      </c>
      <c r="X128" s="138">
        <f t="shared" si="17"/>
        <v>-1.7417986560364744</v>
      </c>
      <c r="Y128" s="128" t="str">
        <f t="shared" si="18"/>
        <v>999.076394274098-30.3814034724794i</v>
      </c>
      <c r="Z128" s="128" t="str">
        <f t="shared" si="19"/>
        <v>-145424937.423893i</v>
      </c>
      <c r="AA128" s="128" t="str">
        <f t="shared" si="23"/>
        <v>64900-12005975.4458763i</v>
      </c>
      <c r="AB128" s="128" t="str">
        <f t="shared" si="24"/>
        <v>5900-22010954.9841066i</v>
      </c>
      <c r="AC128" s="128" t="str">
        <f t="shared" si="25"/>
        <v>58359.8349143955-11384993.0334525i</v>
      </c>
      <c r="AD128" s="128" t="str">
        <f t="shared" si="26"/>
        <v>109997.105463743-549.711020352573i</v>
      </c>
      <c r="AE128" s="128" t="str">
        <f t="shared" si="27"/>
        <v>-49.9867764445337+61.4056726608183i</v>
      </c>
      <c r="AF128" s="130"/>
      <c r="AG128" s="130"/>
      <c r="AH128" s="130"/>
      <c r="AI128" s="130"/>
      <c r="AJ128" s="130"/>
      <c r="AK128" s="130"/>
      <c r="AL128" s="130"/>
      <c r="AM128" s="130"/>
      <c r="AN128" s="130"/>
      <c r="AO128" s="130"/>
      <c r="AP128" s="130"/>
      <c r="AQ128" s="130"/>
      <c r="AR128" s="130"/>
      <c r="AS128" s="130"/>
    </row>
    <row r="129" spans="1:45" s="166" customFormat="1" x14ac:dyDescent="0.2">
      <c r="A129" s="132">
        <f t="shared" si="0"/>
        <v>50.122999999999998</v>
      </c>
      <c r="B129" s="132">
        <f t="shared" si="20"/>
        <v>1.9800000000000011</v>
      </c>
      <c r="C129" s="138">
        <f t="shared" si="21"/>
        <v>95.499258602143826</v>
      </c>
      <c r="D129" s="137">
        <f t="shared" si="1"/>
        <v>50.122710152894541</v>
      </c>
      <c r="E129" s="132">
        <f t="shared" si="2"/>
        <v>117.45726123767321</v>
      </c>
      <c r="G129" s="138"/>
      <c r="H129" s="184" t="str">
        <f t="shared" si="3"/>
        <v>0.5-7.57525838522455i</v>
      </c>
      <c r="I129" s="132" t="str">
        <f t="shared" si="4"/>
        <v>0.01-37.8762919261226i</v>
      </c>
      <c r="J129" s="132" t="str">
        <f t="shared" si="5"/>
        <v>0.34745748773045-6.31650404368367i</v>
      </c>
      <c r="K129" s="132"/>
      <c r="L129" s="132" t="str">
        <f t="shared" si="6"/>
        <v>1.3017949829521-0.279843732368614i</v>
      </c>
      <c r="M129" s="132" t="str">
        <f t="shared" si="7"/>
        <v>0.009+0.00198013047703526i</v>
      </c>
      <c r="N129" s="132" t="str">
        <f t="shared" si="8"/>
        <v>0.993735657318246-0.00283855472935254i</v>
      </c>
      <c r="O129" s="185">
        <f t="shared" si="9"/>
        <v>-5.4547094843791652E-2</v>
      </c>
      <c r="P129" s="185">
        <f t="shared" si="10"/>
        <v>-0.16366199841789075</v>
      </c>
      <c r="Q129" s="132">
        <f t="shared" si="11"/>
        <v>600.03953849553375</v>
      </c>
      <c r="R129" s="132">
        <f t="shared" si="22"/>
        <v>1.9800000000000009</v>
      </c>
      <c r="S129" s="164">
        <f t="shared" si="12"/>
        <v>14.992406644533226</v>
      </c>
      <c r="T129" s="132" t="str">
        <f t="shared" si="13"/>
        <v>1+0.00834534990139589i</v>
      </c>
      <c r="U129" s="138">
        <f t="shared" si="14"/>
        <v>35.130303508361315</v>
      </c>
      <c r="V129" s="132">
        <f t="shared" si="15"/>
        <v>117.6209232360911</v>
      </c>
      <c r="W129" s="132">
        <f t="shared" si="16"/>
        <v>59.99560132486085</v>
      </c>
      <c r="X129" s="138">
        <f t="shared" si="17"/>
        <v>-1.8238329522203793</v>
      </c>
      <c r="Y129" s="128" t="str">
        <f t="shared" si="18"/>
        <v>998.987376665298-31.8104012006715i</v>
      </c>
      <c r="Z129" s="128" t="str">
        <f t="shared" si="19"/>
        <v>-138879737.06245i</v>
      </c>
      <c r="AA129" s="128" t="str">
        <f t="shared" si="23"/>
        <v>64900-11465617.5387673i</v>
      </c>
      <c r="AB129" s="128" t="str">
        <f t="shared" si="24"/>
        <v>5900-21020298.8210734i</v>
      </c>
      <c r="AC129" s="128" t="str">
        <f t="shared" si="25"/>
        <v>58359.8344742214-10872585.4422846i</v>
      </c>
      <c r="AD129" s="128" t="str">
        <f t="shared" si="26"/>
        <v>109996.826212595-575.616562877289i</v>
      </c>
      <c r="AE129" s="128" t="str">
        <f t="shared" si="27"/>
        <v>-47.2595625849466+60.7189077818185i</v>
      </c>
      <c r="AF129" s="130"/>
      <c r="AG129" s="130"/>
      <c r="AH129" s="130"/>
      <c r="AI129" s="130"/>
      <c r="AJ129" s="130"/>
      <c r="AK129" s="130"/>
      <c r="AL129" s="130"/>
      <c r="AM129" s="130"/>
      <c r="AN129" s="130"/>
      <c r="AO129" s="130"/>
      <c r="AP129" s="130"/>
      <c r="AQ129" s="130"/>
      <c r="AR129" s="130"/>
      <c r="AS129" s="130"/>
    </row>
    <row r="130" spans="1:45" s="166" customFormat="1" x14ac:dyDescent="0.2">
      <c r="A130" s="132">
        <f t="shared" si="0"/>
        <v>49.801000000000002</v>
      </c>
      <c r="B130" s="132">
        <f t="shared" si="20"/>
        <v>2.0000000000000009</v>
      </c>
      <c r="C130" s="138">
        <f t="shared" si="21"/>
        <v>100.00000000000023</v>
      </c>
      <c r="D130" s="137">
        <f t="shared" si="1"/>
        <v>49.800867270798797</v>
      </c>
      <c r="E130" s="132">
        <f t="shared" si="2"/>
        <v>116.44747789393786</v>
      </c>
      <c r="G130" s="138"/>
      <c r="H130" s="184" t="str">
        <f t="shared" si="3"/>
        <v>0.5-7.23431559508615i</v>
      </c>
      <c r="I130" s="132" t="str">
        <f t="shared" si="4"/>
        <v>0.01-36.1715779754307i</v>
      </c>
      <c r="J130" s="132" t="str">
        <f t="shared" si="5"/>
        <v>0.347453386789514-6.0325635607155i</v>
      </c>
      <c r="K130" s="132"/>
      <c r="L130" s="132" t="str">
        <f t="shared" si="6"/>
        <v>1.29498583817594-0.291067603145777i</v>
      </c>
      <c r="M130" s="132" t="str">
        <f t="shared" si="7"/>
        <v>0.009+0.00207345115136927i</v>
      </c>
      <c r="N130" s="132" t="str">
        <f t="shared" si="8"/>
        <v>0.993757117565452-0.00297365780595135i</v>
      </c>
      <c r="O130" s="185">
        <f t="shared" si="9"/>
        <v>-5.4356068777599728E-2</v>
      </c>
      <c r="P130" s="185">
        <f t="shared" si="10"/>
        <v>-0.17144786232120343</v>
      </c>
      <c r="Q130" s="132">
        <f t="shared" si="11"/>
        <v>628.31853071796002</v>
      </c>
      <c r="R130" s="132">
        <f t="shared" si="22"/>
        <v>2.0000000000000009</v>
      </c>
      <c r="S130" s="164">
        <f t="shared" si="12"/>
        <v>14.992597670599416</v>
      </c>
      <c r="T130" s="132" t="str">
        <f t="shared" si="13"/>
        <v>1+0.00873865412522539i</v>
      </c>
      <c r="U130" s="138">
        <f t="shared" si="14"/>
        <v>34.808269600199381</v>
      </c>
      <c r="V130" s="132">
        <f t="shared" si="15"/>
        <v>116.61892575625906</v>
      </c>
      <c r="W130" s="132">
        <f t="shared" si="16"/>
        <v>59.99517718416832</v>
      </c>
      <c r="X130" s="138">
        <f t="shared" si="17"/>
        <v>-1.9097253907914937</v>
      </c>
      <c r="Y130" s="128" t="str">
        <f t="shared" si="18"/>
        <v>998.889789023307-33.306326300776i</v>
      </c>
      <c r="Z130" s="128" t="str">
        <f t="shared" si="19"/>
        <v>-132629119.243246i</v>
      </c>
      <c r="AA130" s="128" t="str">
        <f t="shared" si="23"/>
        <v>64900-10949579.7436801i</v>
      </c>
      <c r="AB130" s="128" t="str">
        <f t="shared" si="24"/>
        <v>5900-20074229.5300802i</v>
      </c>
      <c r="AC130" s="128" t="str">
        <f t="shared" si="25"/>
        <v>58359.8339915803-10383240.0625526i</v>
      </c>
      <c r="AD130" s="128" t="str">
        <f t="shared" si="26"/>
        <v>109996.520021518-602.742767903662i</v>
      </c>
      <c r="AE130" s="128" t="str">
        <f t="shared" si="27"/>
        <v>-44.5982481429344+59.9216233482497i</v>
      </c>
      <c r="AF130" s="130"/>
      <c r="AG130" s="130"/>
      <c r="AH130" s="130"/>
      <c r="AI130" s="130"/>
      <c r="AJ130" s="130"/>
      <c r="AK130" s="130"/>
      <c r="AL130" s="130"/>
      <c r="AM130" s="130"/>
      <c r="AN130" s="130"/>
      <c r="AO130" s="130"/>
      <c r="AP130" s="130"/>
      <c r="AQ130" s="130"/>
      <c r="AR130" s="130"/>
      <c r="AS130" s="130"/>
    </row>
    <row r="131" spans="1:45" s="166" customFormat="1" x14ac:dyDescent="0.2">
      <c r="A131" s="132">
        <f t="shared" si="0"/>
        <v>49.472999999999999</v>
      </c>
      <c r="B131" s="132">
        <f t="shared" si="20"/>
        <v>2.0200000000000014</v>
      </c>
      <c r="C131" s="138">
        <f t="shared" si="21"/>
        <v>104.71285480509026</v>
      </c>
      <c r="D131" s="137">
        <f t="shared" si="1"/>
        <v>49.47343297898577</v>
      </c>
      <c r="E131" s="132">
        <f t="shared" si="2"/>
        <v>115.46895957967897</v>
      </c>
      <c r="G131" s="138"/>
      <c r="H131" s="184" t="str">
        <f t="shared" si="3"/>
        <v>0.5-6.9087177582465i</v>
      </c>
      <c r="I131" s="132" t="str">
        <f t="shared" si="4"/>
        <v>0.01-34.5435887912325i</v>
      </c>
      <c r="J131" s="132" t="str">
        <f t="shared" si="5"/>
        <v>0.347448890311687-5.76141894455361i</v>
      </c>
      <c r="K131" s="132"/>
      <c r="L131" s="132" t="str">
        <f t="shared" si="6"/>
        <v>1.28762486196143-0.302561118906371i</v>
      </c>
      <c r="M131" s="132" t="str">
        <f t="shared" si="7"/>
        <v>0.009+0.00217116989358777i</v>
      </c>
      <c r="N131" s="132" t="str">
        <f t="shared" si="8"/>
        <v>0.993780631235379-0.00311532338935238i</v>
      </c>
      <c r="O131" s="185">
        <f t="shared" si="9"/>
        <v>-5.4146759647720658E-2</v>
      </c>
      <c r="P131" s="185">
        <f t="shared" si="10"/>
        <v>-0.17961136665983546</v>
      </c>
      <c r="Q131" s="132">
        <f t="shared" si="11"/>
        <v>657.93027078417242</v>
      </c>
      <c r="R131" s="132">
        <f t="shared" si="22"/>
        <v>2.0200000000000009</v>
      </c>
      <c r="S131" s="164">
        <f t="shared" si="12"/>
        <v>14.992806979729297</v>
      </c>
      <c r="T131" s="132" t="str">
        <f t="shared" si="13"/>
        <v>1+0.00915049420606627i</v>
      </c>
      <c r="U131" s="138">
        <f t="shared" si="14"/>
        <v>34.480625999256475</v>
      </c>
      <c r="V131" s="132">
        <f t="shared" si="15"/>
        <v>115.64857094633881</v>
      </c>
      <c r="W131" s="132">
        <f t="shared" si="16"/>
        <v>59.994712170751654</v>
      </c>
      <c r="X131" s="138">
        <f t="shared" si="17"/>
        <v>-1.9996566147665482</v>
      </c>
      <c r="Y131" s="128" t="str">
        <f t="shared" si="18"/>
        <v>998.782808206641-34.8722710113335i</v>
      </c>
      <c r="Z131" s="128" t="str">
        <f t="shared" si="19"/>
        <v>-126659825.567853i</v>
      </c>
      <c r="AA131" s="128" t="str">
        <f t="shared" si="23"/>
        <v>64900-10456767.475265i</v>
      </c>
      <c r="AB131" s="128" t="str">
        <f t="shared" si="24"/>
        <v>5900-19170740.3713192i</v>
      </c>
      <c r="AC131" s="128" t="str">
        <f t="shared" si="25"/>
        <v>58359.8334623754-9915918.92709845i</v>
      </c>
      <c r="AD131" s="128" t="str">
        <f t="shared" si="26"/>
        <v>109996.184291743-631.147129691182i</v>
      </c>
      <c r="AE131" s="128" t="str">
        <f t="shared" si="27"/>
        <v>-42.0113222557942+59.0214186164012i</v>
      </c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</row>
    <row r="132" spans="1:45" s="166" customFormat="1" x14ac:dyDescent="0.2">
      <c r="A132" s="132">
        <f t="shared" si="0"/>
        <v>49.140999999999998</v>
      </c>
      <c r="B132" s="132">
        <f t="shared" si="20"/>
        <v>2.0400000000000014</v>
      </c>
      <c r="C132" s="138">
        <f t="shared" si="21"/>
        <v>109.64781961431881</v>
      </c>
      <c r="D132" s="137">
        <f t="shared" si="1"/>
        <v>49.140730107142247</v>
      </c>
      <c r="E132" s="132">
        <f t="shared" si="2"/>
        <v>114.52218029823807</v>
      </c>
      <c r="G132" s="138"/>
      <c r="H132" s="184" t="str">
        <f t="shared" si="3"/>
        <v>0.5-6.59777423804007i</v>
      </c>
      <c r="I132" s="132" t="str">
        <f t="shared" si="4"/>
        <v>0.01-32.9888711902002i</v>
      </c>
      <c r="J132" s="132" t="str">
        <f t="shared" si="5"/>
        <v>0.347443960159436-5.50249505973583i</v>
      </c>
      <c r="K132" s="132"/>
      <c r="L132" s="132" t="str">
        <f t="shared" si="6"/>
        <v>1.27967729570919-0.314305914552117i</v>
      </c>
      <c r="M132" s="132" t="str">
        <f t="shared" si="7"/>
        <v>0.009+0.00227349397824439i</v>
      </c>
      <c r="N132" s="132" t="str">
        <f t="shared" si="8"/>
        <v>0.993806393021037-0.00326388939261822i</v>
      </c>
      <c r="O132" s="185">
        <f t="shared" si="9"/>
        <v>-5.3917432994146072E-2</v>
      </c>
      <c r="P132" s="185">
        <f t="shared" si="10"/>
        <v>-0.18817187728784676</v>
      </c>
      <c r="Q132" s="132">
        <f t="shared" si="11"/>
        <v>688.93756916496557</v>
      </c>
      <c r="R132" s="132">
        <f t="shared" si="22"/>
        <v>2.0400000000000009</v>
      </c>
      <c r="S132" s="164">
        <f t="shared" si="12"/>
        <v>14.993036306382869</v>
      </c>
      <c r="T132" s="132" t="str">
        <f t="shared" si="13"/>
        <v>1+0.00958174371194634i</v>
      </c>
      <c r="U132" s="138">
        <f t="shared" si="14"/>
        <v>34.147693800759377</v>
      </c>
      <c r="V132" s="132">
        <f t="shared" si="15"/>
        <v>114.71035217552591</v>
      </c>
      <c r="W132" s="132">
        <f t="shared" si="16"/>
        <v>59.994202350900636</v>
      </c>
      <c r="X132" s="138">
        <f t="shared" si="17"/>
        <v>-2.0938156054154788</v>
      </c>
      <c r="Y132" s="128" t="str">
        <f t="shared" si="18"/>
        <v>998.665532400869-36.5114641658695i</v>
      </c>
      <c r="Z132" s="128" t="str">
        <f t="shared" si="19"/>
        <v>-120959194.364068i</v>
      </c>
      <c r="AA132" s="128" t="str">
        <f t="shared" si="23"/>
        <v>64900-9986135.41262815i</v>
      </c>
      <c r="AB132" s="128" t="str">
        <f t="shared" si="24"/>
        <v>5900-18307914.9231516i</v>
      </c>
      <c r="AC132" s="128" t="str">
        <f t="shared" si="25"/>
        <v>58359.8328821133-9469630.78513912i</v>
      </c>
      <c r="AD132" s="128" t="str">
        <f t="shared" si="26"/>
        <v>109995.816173846-660.889847114601i</v>
      </c>
      <c r="AE132" s="128" t="str">
        <f t="shared" si="27"/>
        <v>-39.5061954715231+58.0265818211294i</v>
      </c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</row>
    <row r="133" spans="1:45" s="166" customFormat="1" x14ac:dyDescent="0.2">
      <c r="A133" s="132">
        <f t="shared" si="0"/>
        <v>48.802999999999997</v>
      </c>
      <c r="B133" s="132">
        <f t="shared" si="20"/>
        <v>2.0600000000000009</v>
      </c>
      <c r="C133" s="138">
        <f t="shared" si="21"/>
        <v>114.81536214968857</v>
      </c>
      <c r="D133" s="137">
        <f t="shared" si="1"/>
        <v>48.803075566151371</v>
      </c>
      <c r="E133" s="132">
        <f t="shared" si="2"/>
        <v>113.60746152842299</v>
      </c>
      <c r="G133" s="138"/>
      <c r="H133" s="184" t="str">
        <f t="shared" si="3"/>
        <v>0.5-6.30082548157147i</v>
      </c>
      <c r="I133" s="132" t="str">
        <f t="shared" si="4"/>
        <v>0.01-31.5041274078574i</v>
      </c>
      <c r="J133" s="132" t="str">
        <f t="shared" si="5"/>
        <v>0.347438554520468-5.25524269240555i</v>
      </c>
      <c r="K133" s="132"/>
      <c r="L133" s="132" t="str">
        <f t="shared" si="6"/>
        <v>1.27110799316886-0.326279760605741i</v>
      </c>
      <c r="M133" s="132" t="str">
        <f t="shared" si="7"/>
        <v>0.009+0.00238064044844151i</v>
      </c>
      <c r="N133" s="132" t="str">
        <f t="shared" si="8"/>
        <v>0.993834615715942-0.00341971381855332i</v>
      </c>
      <c r="O133" s="185">
        <f t="shared" si="9"/>
        <v>-5.3666192903882727E-2</v>
      </c>
      <c r="P133" s="185">
        <f t="shared" si="10"/>
        <v>-0.19714990055961701</v>
      </c>
      <c r="Q133" s="132">
        <f t="shared" si="11"/>
        <v>721.40619649742644</v>
      </c>
      <c r="R133" s="132">
        <f t="shared" si="22"/>
        <v>2.0600000000000009</v>
      </c>
      <c r="S133" s="164">
        <f t="shared" si="12"/>
        <v>14.993287546473136</v>
      </c>
      <c r="T133" s="132" t="str">
        <f t="shared" si="13"/>
        <v>1+0.0100333173808862i</v>
      </c>
      <c r="U133" s="138">
        <f t="shared" si="14"/>
        <v>33.809788019678237</v>
      </c>
      <c r="V133" s="132">
        <f t="shared" si="15"/>
        <v>113.80461142898261</v>
      </c>
      <c r="W133" s="132">
        <f t="shared" si="16"/>
        <v>59.993643413328918</v>
      </c>
      <c r="X133" s="138">
        <f t="shared" si="17"/>
        <v>-2.1924000493965252</v>
      </c>
      <c r="Y133" s="128" t="str">
        <f t="shared" si="18"/>
        <v>998.536973677874-38.2272762871065i</v>
      </c>
      <c r="Z133" s="128" t="str">
        <f t="shared" si="19"/>
        <v>-115515133.82881i</v>
      </c>
      <c r="AA133" s="128" t="str">
        <f t="shared" si="23"/>
        <v>64900-9536685.28206596i</v>
      </c>
      <c r="AB133" s="128" t="str">
        <f t="shared" si="24"/>
        <v>5900-17483923.017121i</v>
      </c>
      <c r="AC133" s="128" t="str">
        <f t="shared" si="25"/>
        <v>58359.8322458683-9043428.99969046i</v>
      </c>
      <c r="AD133" s="128" t="str">
        <f t="shared" si="26"/>
        <v>109995.412543582-692.033950387043i</v>
      </c>
      <c r="AE133" s="128" t="str">
        <f t="shared" si="27"/>
        <v>-37.0891479505662+56.9459175046404i</v>
      </c>
      <c r="AF133" s="130"/>
      <c r="AG133" s="130"/>
      <c r="AH133" s="130"/>
      <c r="AI133" s="130"/>
      <c r="AJ133" s="130"/>
      <c r="AK133" s="130"/>
      <c r="AL133" s="130"/>
      <c r="AM133" s="130"/>
      <c r="AN133" s="130"/>
      <c r="AO133" s="130"/>
      <c r="AP133" s="130"/>
      <c r="AQ133" s="130"/>
      <c r="AR133" s="130"/>
      <c r="AS133" s="130"/>
    </row>
    <row r="134" spans="1:45" s="166" customFormat="1" x14ac:dyDescent="0.2">
      <c r="A134" s="132">
        <f t="shared" si="0"/>
        <v>48.460999999999999</v>
      </c>
      <c r="B134" s="132">
        <f t="shared" si="20"/>
        <v>2.080000000000001</v>
      </c>
      <c r="C134" s="138">
        <f t="shared" si="21"/>
        <v>120.22644346174157</v>
      </c>
      <c r="D134" s="137">
        <f t="shared" si="1"/>
        <v>48.460778569782505</v>
      </c>
      <c r="E134" s="132">
        <f t="shared" si="2"/>
        <v>112.72498419532783</v>
      </c>
      <c r="G134" s="138"/>
      <c r="H134" s="184" t="str">
        <f t="shared" si="3"/>
        <v>0.5-6.0172416207157i</v>
      </c>
      <c r="I134" s="132" t="str">
        <f t="shared" si="4"/>
        <v>0.01-30.0862081035785i</v>
      </c>
      <c r="J134" s="132" t="str">
        <f t="shared" si="5"/>
        <v>0.347432627554144-5.01913738532536i</v>
      </c>
      <c r="K134" s="132"/>
      <c r="L134" s="132" t="str">
        <f t="shared" si="6"/>
        <v>1.26188178046732-0.338456255973341i</v>
      </c>
      <c r="M134" s="132" t="str">
        <f t="shared" si="7"/>
        <v>0.009+0.0024928365762078i</v>
      </c>
      <c r="N134" s="132" t="str">
        <f t="shared" si="8"/>
        <v>0.9938655318248-0.00358317630366573i</v>
      </c>
      <c r="O134" s="185">
        <f t="shared" si="9"/>
        <v>-5.3390967601398706E-2</v>
      </c>
      <c r="P134" s="185">
        <f t="shared" si="10"/>
        <v>-0.20656716967707073</v>
      </c>
      <c r="Q134" s="132">
        <f t="shared" si="11"/>
        <v>755.40502309327189</v>
      </c>
      <c r="R134" s="132">
        <f t="shared" si="22"/>
        <v>2.080000000000001</v>
      </c>
      <c r="S134" s="164">
        <f t="shared" si="12"/>
        <v>14.993562771775617</v>
      </c>
      <c r="T134" s="132" t="str">
        <f t="shared" si="13"/>
        <v>1+0.0105061730611812i</v>
      </c>
      <c r="U134" s="138">
        <f t="shared" si="14"/>
        <v>33.46721579800689</v>
      </c>
      <c r="V134" s="132">
        <f t="shared" si="15"/>
        <v>112.93155136500491</v>
      </c>
      <c r="W134" s="132">
        <f t="shared" si="16"/>
        <v>59.993030633137607</v>
      </c>
      <c r="X134" s="138">
        <f t="shared" si="17"/>
        <v>-2.2956167193974166</v>
      </c>
      <c r="Y134" s="128" t="str">
        <f t="shared" si="18"/>
        <v>998.396049867273-40.0232247249424i</v>
      </c>
      <c r="Z134" s="128" t="str">
        <f t="shared" si="19"/>
        <v>-110316096.379788i</v>
      </c>
      <c r="AA134" s="128" t="str">
        <f t="shared" si="23"/>
        <v>64900-9107463.73959281i</v>
      </c>
      <c r="AB134" s="128" t="str">
        <f t="shared" si="24"/>
        <v>5900-16697016.8559201i</v>
      </c>
      <c r="AC134" s="128" t="str">
        <f t="shared" si="25"/>
        <v>58359.8315482397-8636409.53962386i</v>
      </c>
      <c r="AD134" s="128" t="str">
        <f t="shared" si="26"/>
        <v>109994.969975386-724.645433645669i</v>
      </c>
      <c r="AE134" s="128" t="str">
        <f t="shared" si="27"/>
        <v>-34.7653078784747+55.7885744575088i</v>
      </c>
      <c r="AF134" s="130"/>
      <c r="AG134" s="130"/>
      <c r="AH134" s="130"/>
      <c r="AI134" s="130"/>
      <c r="AJ134" s="130"/>
      <c r="AK134" s="130"/>
      <c r="AL134" s="130"/>
      <c r="AM134" s="130"/>
      <c r="AN134" s="130"/>
      <c r="AO134" s="130"/>
      <c r="AP134" s="130"/>
      <c r="AQ134" s="130"/>
      <c r="AR134" s="130"/>
      <c r="AS134" s="130"/>
    </row>
    <row r="135" spans="1:45" s="166" customFormat="1" x14ac:dyDescent="0.2">
      <c r="A135" s="132">
        <f t="shared" si="0"/>
        <v>48.113999999999997</v>
      </c>
      <c r="B135" s="132">
        <f t="shared" si="20"/>
        <v>2.1000000000000014</v>
      </c>
      <c r="C135" s="138">
        <f t="shared" si="21"/>
        <v>125.89254117941711</v>
      </c>
      <c r="D135" s="137">
        <f t="shared" si="1"/>
        <v>48.11413916547216</v>
      </c>
      <c r="E135" s="132">
        <f t="shared" si="2"/>
        <v>111.8748011476668</v>
      </c>
      <c r="G135" s="138"/>
      <c r="H135" s="184" t="str">
        <f t="shared" si="3"/>
        <v>0.5-5.74642113608311i</v>
      </c>
      <c r="I135" s="132" t="str">
        <f t="shared" si="4"/>
        <v>0.01-28.7321056804156i</v>
      </c>
      <c r="J135" s="132" t="str">
        <f t="shared" si="5"/>
        <v>0.347426129003966-4.79367832539807i</v>
      </c>
      <c r="K135" s="132"/>
      <c r="L135" s="132" t="str">
        <f t="shared" si="6"/>
        <v>1.25196388288818-0.350804541027664i</v>
      </c>
      <c r="M135" s="132" t="str">
        <f t="shared" si="7"/>
        <v>0.009+0.00261032034457265i</v>
      </c>
      <c r="N135" s="132" t="str">
        <f t="shared" si="8"/>
        <v>0.993899395302969-0.00375467981835223i</v>
      </c>
      <c r="O135" s="185">
        <f t="shared" si="9"/>
        <v>-5.308949387757899E-2</v>
      </c>
      <c r="P135" s="185">
        <f t="shared" si="10"/>
        <v>-0.21644673964376795</v>
      </c>
      <c r="Q135" s="132">
        <f t="shared" si="11"/>
        <v>791.00616502201456</v>
      </c>
      <c r="R135" s="132">
        <f t="shared" si="22"/>
        <v>2.100000000000001</v>
      </c>
      <c r="S135" s="164">
        <f t="shared" si="12"/>
        <v>14.993864245499438</v>
      </c>
      <c r="T135" s="132" t="str">
        <f t="shared" si="13"/>
        <v>1+0.0110013137431262i</v>
      </c>
      <c r="U135" s="138">
        <f t="shared" si="14"/>
        <v>33.120274919972722</v>
      </c>
      <c r="V135" s="132">
        <f t="shared" si="15"/>
        <v>112.09124788731057</v>
      </c>
      <c r="W135" s="132">
        <f t="shared" si="16"/>
        <v>59.992358832380773</v>
      </c>
      <c r="X135" s="138">
        <f t="shared" si="17"/>
        <v>-2.403681868364731</v>
      </c>
      <c r="Y135" s="128" t="str">
        <f t="shared" si="18"/>
        <v>998.24157567964-41.9029788118676i</v>
      </c>
      <c r="Z135" s="128" t="str">
        <f t="shared" si="19"/>
        <v>-105351054.161524i</v>
      </c>
      <c r="AA135" s="128" t="str">
        <f t="shared" si="23"/>
        <v>64900-8697560.34877018i</v>
      </c>
      <c r="AB135" s="128" t="str">
        <f t="shared" si="24"/>
        <v>5900-15945527.3060786i</v>
      </c>
      <c r="AC135" s="128" t="str">
        <f t="shared" si="25"/>
        <v>58359.8307833057-8247709.0620943i</v>
      </c>
      <c r="AD135" s="128" t="str">
        <f t="shared" si="26"/>
        <v>109994.484713322-758.793393659779i</v>
      </c>
      <c r="AE135" s="128" t="str">
        <f t="shared" si="27"/>
        <v>-32.5386580514787+54.5638797573522i</v>
      </c>
      <c r="AF135" s="130"/>
      <c r="AG135" s="130"/>
      <c r="AH135" s="130"/>
      <c r="AI135" s="130"/>
      <c r="AJ135" s="130"/>
      <c r="AK135" s="130"/>
      <c r="AL135" s="130"/>
      <c r="AM135" s="130"/>
      <c r="AN135" s="130"/>
      <c r="AO135" s="130"/>
      <c r="AP135" s="130"/>
      <c r="AQ135" s="130"/>
      <c r="AR135" s="130"/>
      <c r="AS135" s="130"/>
    </row>
    <row r="136" spans="1:45" s="166" customFormat="1" x14ac:dyDescent="0.2">
      <c r="A136" s="132">
        <f t="shared" si="0"/>
        <v>47.762999999999998</v>
      </c>
      <c r="B136" s="132">
        <f t="shared" si="20"/>
        <v>2.120000000000001</v>
      </c>
      <c r="C136" s="138">
        <f t="shared" si="21"/>
        <v>131.82567385564107</v>
      </c>
      <c r="D136" s="137">
        <f t="shared" si="1"/>
        <v>47.763447059741402</v>
      </c>
      <c r="E136" s="132">
        <f t="shared" si="2"/>
        <v>111.05684984431819</v>
      </c>
      <c r="G136" s="138"/>
      <c r="H136" s="184" t="str">
        <f t="shared" si="3"/>
        <v>0.5-5.48778958111623i</v>
      </c>
      <c r="I136" s="132" t="str">
        <f t="shared" si="4"/>
        <v>0.01-27.4389479055812i</v>
      </c>
      <c r="J136" s="132" t="str">
        <f t="shared" si="5"/>
        <v>0.347419003772917-4.57838728133538i</v>
      </c>
      <c r="K136" s="132"/>
      <c r="L136" s="132" t="str">
        <f t="shared" si="6"/>
        <v>1.24132042150102-0.363289042839445i</v>
      </c>
      <c r="M136" s="132" t="str">
        <f t="shared" si="7"/>
        <v>0.009+0.00273334095236008i</v>
      </c>
      <c r="N136" s="132" t="str">
        <f t="shared" si="8"/>
        <v>0.993936483431961-0.00393465254174403i</v>
      </c>
      <c r="O136" s="185">
        <f t="shared" si="9"/>
        <v>-5.2759300289383929E-2</v>
      </c>
      <c r="P136" s="185">
        <f t="shared" si="10"/>
        <v>-0.22681309182872619</v>
      </c>
      <c r="Q136" s="132">
        <f t="shared" si="11"/>
        <v>828.28513707881211</v>
      </c>
      <c r="R136" s="132">
        <f t="shared" si="22"/>
        <v>2.120000000000001</v>
      </c>
      <c r="S136" s="164">
        <f t="shared" si="12"/>
        <v>14.994194439087634</v>
      </c>
      <c r="T136" s="132" t="str">
        <f t="shared" si="13"/>
        <v>1+0.0115197896864921i</v>
      </c>
      <c r="U136" s="138">
        <f t="shared" si="14"/>
        <v>32.769252620653766</v>
      </c>
      <c r="V136" s="132">
        <f t="shared" si="15"/>
        <v>111.28366293614692</v>
      </c>
      <c r="W136" s="132">
        <f t="shared" si="16"/>
        <v>59.991622336921054</v>
      </c>
      <c r="X136" s="138">
        <f t="shared" si="17"/>
        <v>-2.5168216373273355</v>
      </c>
      <c r="Y136" s="128" t="str">
        <f t="shared" si="18"/>
        <v>998.072253016562-43.8703650042254i</v>
      </c>
      <c r="Z136" s="128" t="str">
        <f t="shared" si="19"/>
        <v>-100609475.653798i</v>
      </c>
      <c r="AA136" s="128" t="str">
        <f t="shared" si="23"/>
        <v>64900-8306105.64954951i</v>
      </c>
      <c r="AB136" s="128" t="str">
        <f t="shared" si="24"/>
        <v>5900-15227860.3575074i</v>
      </c>
      <c r="AC136" s="128" t="str">
        <f t="shared" si="25"/>
        <v>58359.8299445717-7876503.08127495i</v>
      </c>
      <c r="AD136" s="128" t="str">
        <f t="shared" si="26"/>
        <v>109993.952639234-794.550174931319i</v>
      </c>
      <c r="AE136" s="128" t="str">
        <f t="shared" si="27"/>
        <v>-30.4120676299182+53.2811835462634i</v>
      </c>
      <c r="AF136" s="130"/>
      <c r="AG136" s="130"/>
      <c r="AH136" s="130"/>
      <c r="AI136" s="130"/>
      <c r="AJ136" s="130"/>
      <c r="AK136" s="130"/>
      <c r="AL136" s="130"/>
      <c r="AM136" s="130"/>
      <c r="AN136" s="130"/>
      <c r="AO136" s="130"/>
      <c r="AP136" s="130"/>
      <c r="AQ136" s="130"/>
      <c r="AR136" s="130"/>
      <c r="AS136" s="130"/>
    </row>
    <row r="137" spans="1:45" s="166" customFormat="1" x14ac:dyDescent="0.2">
      <c r="A137" s="132">
        <f t="shared" si="0"/>
        <v>47.408999999999999</v>
      </c>
      <c r="B137" s="132">
        <f t="shared" si="20"/>
        <v>2.140000000000001</v>
      </c>
      <c r="C137" s="138">
        <f t="shared" si="21"/>
        <v>138.03842646028886</v>
      </c>
      <c r="D137" s="137">
        <f t="shared" si="1"/>
        <v>47.408980718729993</v>
      </c>
      <c r="E137" s="132">
        <f t="shared" si="2"/>
        <v>110.27096499443454</v>
      </c>
      <c r="G137" s="138"/>
      <c r="H137" s="184" t="str">
        <f t="shared" si="3"/>
        <v>0.5-5.24079836361169i</v>
      </c>
      <c r="I137" s="132" t="str">
        <f t="shared" si="4"/>
        <v>0.01-26.2039918180585i</v>
      </c>
      <c r="J137" s="132" t="str">
        <f t="shared" si="5"/>
        <v>0.347411191458084-4.37280758921938i</v>
      </c>
      <c r="K137" s="132"/>
      <c r="L137" s="132" t="str">
        <f t="shared" si="6"/>
        <v>1.22991898099283-0.375869266135103i</v>
      </c>
      <c r="M137" s="132" t="str">
        <f t="shared" si="7"/>
        <v>0.009+0.00286215934277287i</v>
      </c>
      <c r="N137" s="132" t="str">
        <f t="shared" si="8"/>
        <v>0.993977098838043-0.00412354993189035i</v>
      </c>
      <c r="O137" s="185">
        <f t="shared" si="9"/>
        <v>-5.2397689063557712E-2</v>
      </c>
      <c r="P137" s="185">
        <f t="shared" si="10"/>
        <v>-0.23769224926292101</v>
      </c>
      <c r="Q137" s="132">
        <f t="shared" si="11"/>
        <v>867.32101296147675</v>
      </c>
      <c r="R137" s="132">
        <f t="shared" si="22"/>
        <v>2.140000000000001</v>
      </c>
      <c r="S137" s="164">
        <f t="shared" si="12"/>
        <v>14.994556050313459</v>
      </c>
      <c r="T137" s="132" t="str">
        <f t="shared" si="13"/>
        <v>1+0.0120627006482682i</v>
      </c>
      <c r="U137" s="138">
        <f t="shared" si="14"/>
        <v>32.41442466841653</v>
      </c>
      <c r="V137" s="132">
        <f t="shared" si="15"/>
        <v>110.50865724369746</v>
      </c>
      <c r="W137" s="132">
        <f t="shared" si="16"/>
        <v>59.990814929236279</v>
      </c>
      <c r="X137" s="138">
        <f t="shared" si="17"/>
        <v>-2.6352724767284168</v>
      </c>
      <c r="Y137" s="128" t="str">
        <f t="shared" si="18"/>
        <v>997.886660397696-45.9293719716469i</v>
      </c>
      <c r="Z137" s="128" t="str">
        <f t="shared" si="19"/>
        <v>-96081303.3328813i</v>
      </c>
      <c r="AA137" s="128" t="str">
        <f t="shared" si="23"/>
        <v>64900-7932269.31403055i</v>
      </c>
      <c r="AB137" s="128" t="str">
        <f t="shared" si="24"/>
        <v>5900-14542493.7423893i</v>
      </c>
      <c r="AC137" s="128" t="str">
        <f t="shared" si="25"/>
        <v>58359.8290249185-7522004.21951216i</v>
      </c>
      <c r="AD137" s="128" t="str">
        <f t="shared" si="26"/>
        <v>109993.369237832-831.991521467679i</v>
      </c>
      <c r="AE137" s="128" t="str">
        <f t="shared" si="27"/>
        <v>-28.3873453674858+51.9497182028483i</v>
      </c>
      <c r="AF137" s="130"/>
      <c r="AG137" s="130"/>
      <c r="AH137" s="130"/>
      <c r="AI137" s="130"/>
      <c r="AJ137" s="130"/>
      <c r="AK137" s="130"/>
      <c r="AL137" s="130"/>
      <c r="AM137" s="130"/>
      <c r="AN137" s="130"/>
      <c r="AO137" s="130"/>
      <c r="AP137" s="130"/>
      <c r="AQ137" s="130"/>
      <c r="AR137" s="130"/>
      <c r="AS137" s="130"/>
    </row>
    <row r="138" spans="1:45" s="166" customFormat="1" x14ac:dyDescent="0.2">
      <c r="A138" s="132">
        <f t="shared" si="0"/>
        <v>47.051000000000002</v>
      </c>
      <c r="B138" s="132">
        <f t="shared" si="20"/>
        <v>2.160000000000001</v>
      </c>
      <c r="C138" s="138">
        <f t="shared" si="21"/>
        <v>144.5439770745931</v>
      </c>
      <c r="D138" s="137">
        <f t="shared" si="1"/>
        <v>47.051006720818506</v>
      </c>
      <c r="E138" s="132">
        <f t="shared" si="2"/>
        <v>109.51689093788374</v>
      </c>
      <c r="G138" s="138"/>
      <c r="H138" s="184" t="str">
        <f t="shared" si="3"/>
        <v>0.5-5.00492358208244i</v>
      </c>
      <c r="I138" s="132" t="str">
        <f t="shared" si="4"/>
        <v>0.01-25.0246179104122i</v>
      </c>
      <c r="J138" s="132" t="str">
        <f t="shared" si="5"/>
        <v>0.347402625840751-4.17650318380486i</v>
      </c>
      <c r="K138" s="132"/>
      <c r="L138" s="132" t="str">
        <f t="shared" si="6"/>
        <v>1.21772924775958-0.388499645154393i</v>
      </c>
      <c r="M138" s="132" t="str">
        <f t="shared" si="7"/>
        <v>0.009+0.00299704875688807i</v>
      </c>
      <c r="N138" s="132" t="str">
        <f t="shared" si="8"/>
        <v>0.994021571660494-0.004321857014355i</v>
      </c>
      <c r="O138" s="185">
        <f t="shared" si="9"/>
        <v>-5.2001716641403004E-2</v>
      </c>
      <c r="P138" s="185">
        <f t="shared" si="10"/>
        <v>-0.24911190391923954</v>
      </c>
      <c r="Q138" s="132">
        <f t="shared" si="11"/>
        <v>908.19659299638636</v>
      </c>
      <c r="R138" s="132">
        <f t="shared" si="22"/>
        <v>2.160000000000001</v>
      </c>
      <c r="S138" s="164">
        <f t="shared" si="12"/>
        <v>14.994952022735614</v>
      </c>
      <c r="T138" s="132" t="str">
        <f t="shared" si="13"/>
        <v>1+0.0126311982153937i</v>
      </c>
      <c r="U138" s="138">
        <f t="shared" si="14"/>
        <v>32.056054698082889</v>
      </c>
      <c r="V138" s="132">
        <f t="shared" si="15"/>
        <v>109.76600284180299</v>
      </c>
      <c r="W138" s="132">
        <f t="shared" si="16"/>
        <v>59.989929796809243</v>
      </c>
      <c r="X138" s="138">
        <f t="shared" si="17"/>
        <v>-2.7592815810728193</v>
      </c>
      <c r="Y138" s="128" t="str">
        <f t="shared" si="18"/>
        <v>997.683241429986-48.084155590025i</v>
      </c>
      <c r="Z138" s="128" t="str">
        <f t="shared" si="19"/>
        <v>-91756932.3381784i</v>
      </c>
      <c r="AA138" s="128" t="str">
        <f t="shared" si="23"/>
        <v>64900-7575258.38522455i</v>
      </c>
      <c r="AB138" s="128" t="str">
        <f t="shared" si="24"/>
        <v>5900-13887973.706245i</v>
      </c>
      <c r="AC138" s="128" t="str">
        <f t="shared" si="25"/>
        <v>58359.8280165387-7183460.5371916i</v>
      </c>
      <c r="AD138" s="128" t="str">
        <f t="shared" si="26"/>
        <v>109992.729558409-871.196735516499i</v>
      </c>
      <c r="AE138" s="128" t="str">
        <f t="shared" si="27"/>
        <v>-26.4653102220871+50.5784745227825i</v>
      </c>
      <c r="AF138" s="130"/>
      <c r="AG138" s="130"/>
      <c r="AH138" s="130"/>
      <c r="AI138" s="130"/>
      <c r="AJ138" s="130"/>
      <c r="AK138" s="130"/>
      <c r="AL138" s="130"/>
      <c r="AM138" s="130"/>
      <c r="AN138" s="130"/>
      <c r="AO138" s="130"/>
      <c r="AP138" s="130"/>
      <c r="AQ138" s="130"/>
      <c r="AR138" s="130"/>
      <c r="AS138" s="130"/>
    </row>
    <row r="139" spans="1:45" s="166" customFormat="1" x14ac:dyDescent="0.2">
      <c r="A139" s="132">
        <f t="shared" si="0"/>
        <v>46.69</v>
      </c>
      <c r="B139" s="132">
        <f t="shared" si="20"/>
        <v>2.1800000000000015</v>
      </c>
      <c r="C139" s="138">
        <f t="shared" si="21"/>
        <v>151.3561248436213</v>
      </c>
      <c r="D139" s="137">
        <f t="shared" si="1"/>
        <v>46.689779336196708</v>
      </c>
      <c r="E139" s="132">
        <f t="shared" si="2"/>
        <v>108.79429359406775</v>
      </c>
      <c r="G139" s="138"/>
      <c r="H139" s="184" t="str">
        <f t="shared" si="3"/>
        <v>0.5-4.77966491449257i</v>
      </c>
      <c r="I139" s="132" t="str">
        <f t="shared" si="4"/>
        <v>0.01-23.8983245724629i</v>
      </c>
      <c r="J139" s="132" t="str">
        <f t="shared" si="5"/>
        <v>0.347393234327668-3.989057673506i</v>
      </c>
      <c r="K139" s="132"/>
      <c r="L139" s="132" t="str">
        <f t="shared" si="6"/>
        <v>1.20472371444216-0.401129472876923i</v>
      </c>
      <c r="M139" s="132" t="str">
        <f t="shared" si="7"/>
        <v>0.009+0.00313829531323797i</v>
      </c>
      <c r="N139" s="132" t="str">
        <f t="shared" si="8"/>
        <v>0.994070261875387-0.00453009091498554i</v>
      </c>
      <c r="O139" s="185">
        <f t="shared" si="9"/>
        <v>-5.1568172806807186E-2</v>
      </c>
      <c r="P139" s="185">
        <f t="shared" si="10"/>
        <v>-0.26110155736944496</v>
      </c>
      <c r="Q139" s="132">
        <f t="shared" si="11"/>
        <v>950.99857976908049</v>
      </c>
      <c r="R139" s="132">
        <f t="shared" si="22"/>
        <v>2.180000000000001</v>
      </c>
      <c r="S139" s="164">
        <f t="shared" si="12"/>
        <v>14.99538556657021</v>
      </c>
      <c r="T139" s="132" t="str">
        <f t="shared" si="13"/>
        <v>1+0.0132264882474284i</v>
      </c>
      <c r="U139" s="138">
        <f t="shared" si="14"/>
        <v>31.694393769626494</v>
      </c>
      <c r="V139" s="132">
        <f t="shared" si="15"/>
        <v>109.0553951514372</v>
      </c>
      <c r="W139" s="132">
        <f t="shared" si="16"/>
        <v>59.988959475701797</v>
      </c>
      <c r="X139" s="138">
        <f t="shared" si="17"/>
        <v>-2.8891073365676125</v>
      </c>
      <c r="Y139" s="128" t="str">
        <f t="shared" si="18"/>
        <v>997.460292239017-50.3390437853755i</v>
      </c>
      <c r="Z139" s="128" t="str">
        <f t="shared" si="19"/>
        <v>-87627190.0990303i</v>
      </c>
      <c r="AA139" s="128" t="str">
        <f t="shared" si="23"/>
        <v>64900-7234315.59508615i</v>
      </c>
      <c r="AB139" s="128" t="str">
        <f t="shared" si="24"/>
        <v>5900-13262911.9243246i</v>
      </c>
      <c r="AC139" s="128" t="str">
        <f t="shared" si="25"/>
        <v>58359.8269108726-6860153.93777358i</v>
      </c>
      <c r="AD139" s="128" t="str">
        <f t="shared" si="26"/>
        <v>109992.02817288-912.248843562531i</v>
      </c>
      <c r="AE139" s="128" t="str">
        <f t="shared" si="27"/>
        <v>-24.6458751183678+49.1760964980313i</v>
      </c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</row>
    <row r="140" spans="1:45" s="166" customFormat="1" x14ac:dyDescent="0.2">
      <c r="A140" s="132">
        <f t="shared" si="0"/>
        <v>46.326000000000001</v>
      </c>
      <c r="B140" s="132">
        <f t="shared" si="20"/>
        <v>2.2000000000000015</v>
      </c>
      <c r="C140" s="138">
        <f t="shared" si="21"/>
        <v>158.48931924611182</v>
      </c>
      <c r="D140" s="137">
        <f t="shared" si="1"/>
        <v>46.325540307293217</v>
      </c>
      <c r="E140" s="132">
        <f t="shared" si="2"/>
        <v>108.10277184588678</v>
      </c>
      <c r="G140" s="138"/>
      <c r="H140" s="184" t="str">
        <f t="shared" si="3"/>
        <v>0.5-4.5645445570072i</v>
      </c>
      <c r="I140" s="132" t="str">
        <f t="shared" si="4"/>
        <v>0.01-22.822722785036i</v>
      </c>
      <c r="J140" s="132" t="str">
        <f t="shared" si="5"/>
        <v>0.347382937338891-3.8100734571052i</v>
      </c>
      <c r="K140" s="132"/>
      <c r="L140" s="132" t="str">
        <f t="shared" si="6"/>
        <v>1.19087844364138-0.413702924910194i</v>
      </c>
      <c r="M140" s="132" t="str">
        <f t="shared" si="7"/>
        <v>0.009+0.00328619861470581i</v>
      </c>
      <c r="N140" s="132" t="str">
        <f t="shared" si="8"/>
        <v>0.994123561779817-0.00474880366549388i</v>
      </c>
      <c r="O140" s="185">
        <f t="shared" si="9"/>
        <v>-5.1093558346964482E-2</v>
      </c>
      <c r="P140" s="185">
        <f t="shared" si="10"/>
        <v>-0.27369267636392125</v>
      </c>
      <c r="Q140" s="132">
        <f t="shared" si="11"/>
        <v>995.81776203206459</v>
      </c>
      <c r="R140" s="132">
        <f t="shared" si="22"/>
        <v>2.2000000000000011</v>
      </c>
      <c r="S140" s="164">
        <f t="shared" si="12"/>
        <v>14.995860181030052</v>
      </c>
      <c r="T140" s="132" t="str">
        <f t="shared" si="13"/>
        <v>1+0.013849833434342i</v>
      </c>
      <c r="U140" s="138">
        <f t="shared" si="14"/>
        <v>31.329680126263163</v>
      </c>
      <c r="V140" s="132">
        <f t="shared" si="15"/>
        <v>108.3764645222507</v>
      </c>
      <c r="W140" s="132">
        <f t="shared" si="16"/>
        <v>59.987895788881403</v>
      </c>
      <c r="X140" s="138">
        <f t="shared" si="17"/>
        <v>-3.0250197812838522</v>
      </c>
      <c r="Y140" s="128" t="str">
        <f t="shared" si="18"/>
        <v>997.215947777216-52.6985411667797i</v>
      </c>
      <c r="Z140" s="128" t="str">
        <f t="shared" si="19"/>
        <v>-83683316.878465i</v>
      </c>
      <c r="AA140" s="128" t="str">
        <f t="shared" si="23"/>
        <v>64900-6908717.7582465i</v>
      </c>
      <c r="AB140" s="128" t="str">
        <f t="shared" si="24"/>
        <v>5900-12665982.5567853i</v>
      </c>
      <c r="AC140" s="128" t="str">
        <f t="shared" si="25"/>
        <v>58359.8256985333-6551398.6446143i</v>
      </c>
      <c r="AD140" s="128" t="str">
        <f t="shared" si="26"/>
        <v>109991.259129772-955.234769896242i</v>
      </c>
      <c r="AE140" s="128" t="str">
        <f t="shared" si="27"/>
        <v>-22.9281397272561+47.7507953399085i</v>
      </c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</row>
    <row r="141" spans="1:45" s="166" customFormat="1" x14ac:dyDescent="0.2">
      <c r="A141" s="132">
        <f t="shared" si="0"/>
        <v>45.959000000000003</v>
      </c>
      <c r="B141" s="132">
        <f t="shared" si="20"/>
        <v>2.2200000000000011</v>
      </c>
      <c r="C141" s="138">
        <f t="shared" si="21"/>
        <v>165.95869074375653</v>
      </c>
      <c r="D141" s="137">
        <f t="shared" si="1"/>
        <v>45.95851880401753</v>
      </c>
      <c r="E141" s="132">
        <f t="shared" si="2"/>
        <v>107.44186826082741</v>
      </c>
      <c r="G141" s="138"/>
      <c r="H141" s="184" t="str">
        <f t="shared" si="3"/>
        <v>0.5-4.35910621050637i</v>
      </c>
      <c r="I141" s="132" t="str">
        <f t="shared" si="4"/>
        <v>0.01-21.7955310525319i</v>
      </c>
      <c r="J141" s="132" t="str">
        <f t="shared" si="5"/>
        <v>0.347371647637159-3.63917088030814i</v>
      </c>
      <c r="K141" s="132"/>
      <c r="L141" s="132" t="str">
        <f t="shared" si="6"/>
        <v>1.17617387956805-0.426159195492565i</v>
      </c>
      <c r="M141" s="132" t="str">
        <f t="shared" si="7"/>
        <v>0.009+0.00344107238402377i</v>
      </c>
      <c r="N141" s="132" t="str">
        <f t="shared" si="8"/>
        <v>0.994181898640065-0.00497858531365985i</v>
      </c>
      <c r="O141" s="185">
        <f t="shared" si="9"/>
        <v>-5.0574061206612043E-2</v>
      </c>
      <c r="P141" s="185">
        <f t="shared" si="10"/>
        <v>-0.28691886504708081</v>
      </c>
      <c r="Q141" s="132">
        <f t="shared" si="11"/>
        <v>1042.7492072799319</v>
      </c>
      <c r="R141" s="132">
        <f t="shared" si="22"/>
        <v>2.2200000000000011</v>
      </c>
      <c r="S141" s="164">
        <f t="shared" si="12"/>
        <v>14.996379678170404</v>
      </c>
      <c r="T141" s="132" t="str">
        <f t="shared" si="13"/>
        <v>1+0.0145025559748493i</v>
      </c>
      <c r="U141" s="138">
        <f t="shared" si="14"/>
        <v>30.962139125847123</v>
      </c>
      <c r="V141" s="132">
        <f t="shared" si="15"/>
        <v>107.72878712587449</v>
      </c>
      <c r="W141" s="132">
        <f t="shared" si="16"/>
        <v>59.986729778832945</v>
      </c>
      <c r="X141" s="138">
        <f t="shared" si="17"/>
        <v>-3.1673010771905235</v>
      </c>
      <c r="Y141" s="128" t="str">
        <f t="shared" si="18"/>
        <v>996.948166918268-55.1673333761178i</v>
      </c>
      <c r="Z141" s="128" t="str">
        <f t="shared" si="19"/>
        <v>-79916947.1926167i</v>
      </c>
      <c r="AA141" s="128" t="str">
        <f t="shared" si="23"/>
        <v>64900-6597774.23804007i</v>
      </c>
      <c r="AB141" s="128" t="str">
        <f t="shared" si="24"/>
        <v>5900-12095919.4364068i</v>
      </c>
      <c r="AC141" s="128" t="str">
        <f t="shared" si="25"/>
        <v>58359.8243692303-6256539.74634156i</v>
      </c>
      <c r="AD141" s="128" t="str">
        <f t="shared" si="26"/>
        <v>109990.415903797-1000.245518074i</v>
      </c>
      <c r="AE141" s="128" t="str">
        <f t="shared" si="27"/>
        <v>-21.3104884082349+46.310282568511i</v>
      </c>
      <c r="AF141" s="130"/>
      <c r="AG141" s="130"/>
      <c r="AH141" s="130"/>
      <c r="AI141" s="130"/>
      <c r="AJ141" s="130"/>
      <c r="AK141" s="130"/>
      <c r="AL141" s="130"/>
      <c r="AM141" s="130"/>
      <c r="AN141" s="130"/>
      <c r="AO141" s="130"/>
      <c r="AP141" s="130"/>
      <c r="AQ141" s="130"/>
      <c r="AR141" s="130"/>
      <c r="AS141" s="130"/>
    </row>
    <row r="142" spans="1:45" s="166" customFormat="1" x14ac:dyDescent="0.2">
      <c r="A142" s="132">
        <f t="shared" si="0"/>
        <v>45.588999999999999</v>
      </c>
      <c r="B142" s="132">
        <f t="shared" si="20"/>
        <v>2.2400000000000011</v>
      </c>
      <c r="C142" s="138">
        <f t="shared" si="21"/>
        <v>173.78008287493799</v>
      </c>
      <c r="D142" s="137">
        <f t="shared" si="1"/>
        <v>45.588931528549374</v>
      </c>
      <c r="E142" s="132">
        <f t="shared" si="2"/>
        <v>106.81107908227594</v>
      </c>
      <c r="G142" s="138"/>
      <c r="H142" s="184" t="str">
        <f t="shared" si="3"/>
        <v>0.5-4.16291411271359i</v>
      </c>
      <c r="I142" s="132" t="str">
        <f t="shared" si="4"/>
        <v>0.01-20.8145705635679i</v>
      </c>
      <c r="J142" s="132" t="str">
        <f t="shared" si="5"/>
        <v>0.34735926959326-3.47598743035513i</v>
      </c>
      <c r="K142" s="132"/>
      <c r="L142" s="132" t="str">
        <f t="shared" si="6"/>
        <v>1.16059569198487-0.438432762360846i</v>
      </c>
      <c r="M142" s="132" t="str">
        <f t="shared" si="7"/>
        <v>0.009+0.00360324512922086i</v>
      </c>
      <c r="N142" s="132" t="str">
        <f t="shared" si="8"/>
        <v>0.994245737505487-0.00522006737334412i</v>
      </c>
      <c r="O142" s="185">
        <f t="shared" si="9"/>
        <v>-5.0005531109972017E-2</v>
      </c>
      <c r="P142" s="185">
        <f t="shared" si="10"/>
        <v>-0.30081605569771208</v>
      </c>
      <c r="Q142" s="132">
        <f t="shared" si="11"/>
        <v>1091.8924634002612</v>
      </c>
      <c r="R142" s="132">
        <f t="shared" si="22"/>
        <v>2.2400000000000011</v>
      </c>
      <c r="S142" s="164">
        <f t="shared" si="12"/>
        <v>14.996948208267044</v>
      </c>
      <c r="T142" s="132" t="str">
        <f t="shared" si="13"/>
        <v>1+0.0151860403809708i</v>
      </c>
      <c r="U142" s="138">
        <f t="shared" si="14"/>
        <v>30.591983320282331</v>
      </c>
      <c r="V142" s="132">
        <f t="shared" si="15"/>
        <v>107.11189513797365</v>
      </c>
      <c r="W142" s="132">
        <f t="shared" si="16"/>
        <v>59.985451633951605</v>
      </c>
      <c r="X142" s="138">
        <f t="shared" si="17"/>
        <v>-3.3162459932056505</v>
      </c>
      <c r="Y142" s="128" t="str">
        <f t="shared" si="18"/>
        <v>996.654716241918-57.750291070355i</v>
      </c>
      <c r="Z142" s="128" t="str">
        <f t="shared" si="19"/>
        <v>-76320092.0664159i</v>
      </c>
      <c r="AA142" s="128" t="str">
        <f t="shared" si="23"/>
        <v>64900-6300825.48157147i</v>
      </c>
      <c r="AB142" s="128" t="str">
        <f t="shared" si="24"/>
        <v>5900-11551513.382881i</v>
      </c>
      <c r="AC142" s="128" t="str">
        <f t="shared" si="25"/>
        <v>58359.8229116785-5974951.80769952i</v>
      </c>
      <c r="AD142" s="128" t="str">
        <f t="shared" si="26"/>
        <v>109989.491340557-1047.37636059883i</v>
      </c>
      <c r="AE142" s="128" t="str">
        <f t="shared" si="27"/>
        <v>-19.7906898750718+44.8617213171246i</v>
      </c>
      <c r="AF142" s="130"/>
      <c r="AG142" s="130"/>
      <c r="AH142" s="130"/>
      <c r="AI142" s="130"/>
      <c r="AJ142" s="130"/>
      <c r="AK142" s="130"/>
      <c r="AL142" s="130"/>
      <c r="AM142" s="130"/>
      <c r="AN142" s="130"/>
      <c r="AO142" s="130"/>
      <c r="AP142" s="130"/>
      <c r="AQ142" s="130"/>
      <c r="AR142" s="130"/>
      <c r="AS142" s="130"/>
    </row>
    <row r="143" spans="1:45" s="166" customFormat="1" x14ac:dyDescent="0.2">
      <c r="A143" s="132">
        <f t="shared" si="0"/>
        <v>45.216999999999999</v>
      </c>
      <c r="B143" s="132">
        <f t="shared" si="20"/>
        <v>2.2600000000000016</v>
      </c>
      <c r="C143" s="138">
        <f t="shared" si="21"/>
        <v>181.97008586099895</v>
      </c>
      <c r="D143" s="137">
        <f t="shared" si="1"/>
        <v>45.216982945758858</v>
      </c>
      <c r="E143" s="132">
        <f t="shared" si="2"/>
        <v>106.20986345093183</v>
      </c>
      <c r="G143" s="138"/>
      <c r="H143" s="184" t="str">
        <f t="shared" si="3"/>
        <v>0.5-3.97555211388547i</v>
      </c>
      <c r="I143" s="132" t="str">
        <f t="shared" si="4"/>
        <v>0.01-19.8777605694274i</v>
      </c>
      <c r="J143" s="132" t="str">
        <f t="shared" si="5"/>
        <v>0.347345698381329-3.32017696697847i</v>
      </c>
      <c r="K143" s="132"/>
      <c r="L143" s="132" t="str">
        <f t="shared" si="6"/>
        <v>1.14413563214788-0.450453795469277i</v>
      </c>
      <c r="M143" s="132" t="str">
        <f t="shared" si="7"/>
        <v>0.009+0.00377306084043252i</v>
      </c>
      <c r="N143" s="132" t="str">
        <f t="shared" si="8"/>
        <v>0.99431558418755-0.00547392665311696i</v>
      </c>
      <c r="O143" s="185">
        <f t="shared" si="9"/>
        <v>-4.9383452643714389E-2</v>
      </c>
      <c r="P143" s="185">
        <f t="shared" si="10"/>
        <v>-0.31542272007145794</v>
      </c>
      <c r="Q143" s="132">
        <f t="shared" si="11"/>
        <v>1143.3517698280364</v>
      </c>
      <c r="R143" s="132">
        <f t="shared" si="22"/>
        <v>2.2600000000000011</v>
      </c>
      <c r="S143" s="164">
        <f t="shared" si="12"/>
        <v>14.997570286733303</v>
      </c>
      <c r="T143" s="132" t="str">
        <f t="shared" si="13"/>
        <v>1+0.0159017364147683i</v>
      </c>
      <c r="U143" s="138">
        <f t="shared" si="14"/>
        <v>30.219412659025551</v>
      </c>
      <c r="V143" s="132">
        <f t="shared" si="15"/>
        <v>106.52528617100329</v>
      </c>
      <c r="W143" s="132">
        <f t="shared" si="16"/>
        <v>59.984050608173007</v>
      </c>
      <c r="X143" s="138">
        <f t="shared" si="17"/>
        <v>-3.4721623981699974</v>
      </c>
      <c r="Y143" s="128" t="str">
        <f t="shared" si="18"/>
        <v>996.333152408162-60.4524734385377i</v>
      </c>
      <c r="Z143" s="128" t="str">
        <f t="shared" si="19"/>
        <v>-72885122.0879005i</v>
      </c>
      <c r="AA143" s="128" t="str">
        <f t="shared" si="23"/>
        <v>64900-6017241.6207157i</v>
      </c>
      <c r="AB143" s="128" t="str">
        <f t="shared" si="24"/>
        <v>5900-11031609.6379788i</v>
      </c>
      <c r="AC143" s="128" t="str">
        <f t="shared" si="25"/>
        <v>58359.8213135043-5706037.54291717i</v>
      </c>
      <c r="AD143" s="128" t="str">
        <f t="shared" si="26"/>
        <v>109988.477595947-1096.72703716037i</v>
      </c>
      <c r="AE143" s="128" t="str">
        <f t="shared" si="27"/>
        <v>-18.3659956456671+43.4116944853284i</v>
      </c>
      <c r="AF143" s="130"/>
      <c r="AG143" s="130"/>
      <c r="AH143" s="130"/>
      <c r="AI143" s="130"/>
      <c r="AJ143" s="130"/>
      <c r="AK143" s="130"/>
      <c r="AL143" s="130"/>
      <c r="AM143" s="130"/>
      <c r="AN143" s="130"/>
      <c r="AO143" s="130"/>
      <c r="AP143" s="130"/>
      <c r="AQ143" s="130"/>
      <c r="AR143" s="130"/>
      <c r="AS143" s="130"/>
    </row>
    <row r="144" spans="1:45" s="166" customFormat="1" x14ac:dyDescent="0.2">
      <c r="A144" s="132">
        <f t="shared" si="0"/>
        <v>44.843000000000004</v>
      </c>
      <c r="B144" s="132">
        <f t="shared" si="20"/>
        <v>2.2800000000000011</v>
      </c>
      <c r="C144" s="138">
        <f t="shared" ref="C144:C207" si="28">10^R144</f>
        <v>190.54607179632529</v>
      </c>
      <c r="D144" s="137">
        <f t="shared" ref="D144:D207" si="29">S144+U144</f>
        <v>44.842865617075752</v>
      </c>
      <c r="E144" s="132">
        <f t="shared" ref="E144:E207" si="30">P144+V144</f>
        <v>105.63765183864199</v>
      </c>
      <c r="G144" s="138"/>
      <c r="H144" s="184" t="str">
        <f t="shared" ref="H144:H207" si="31">IMSUM(IMDIV(1,COMPLEX(0,Q144*COUT*10^-6)),ESR*10^-3)</f>
        <v>0.5-3.79662279410247i</v>
      </c>
      <c r="I144" s="132" t="str">
        <f t="shared" ref="I144:I207" si="32">IMSUM(IMDIV(1,COMPLEX(0,Q144*MLCC*10^-6)),MLCC_ESR*10^-3)</f>
        <v>0.01-18.9831139705124i</v>
      </c>
      <c r="J144" s="132" t="str">
        <f t="shared" ref="J144:J207" si="33">IMDIV(IMPRODUCT(H144,I144),IMSUM(H144,I144))</f>
        <v>0.347330819097542-3.1714089880728i</v>
      </c>
      <c r="K144" s="132"/>
      <c r="L144" s="132" t="str">
        <f t="shared" ref="L144:L207" si="34">IMDIV(IMPRODUCT(J144,VOUT/IOUT_max),IMSUM(J144,VOUT/IOUT_max))</f>
        <v>1.12679237580541-0.462148721557552i</v>
      </c>
      <c r="M144" s="132" t="str">
        <f t="shared" ref="M144:M207" si="35">COMPLEX(DCR*10^-3,Q144*LOUT*10^-6)</f>
        <v>0.009+0.00395087971954981i</v>
      </c>
      <c r="N144" s="132" t="str">
        <f t="shared" ref="N144:N207" si="36">IMDIV(L144,IMSUM(M144,L144))</f>
        <v>0.994391988400572-0.00574088950613571i</v>
      </c>
      <c r="O144" s="185">
        <f t="shared" ref="O144:O207" si="37">20*LOG(IMABS(N144))</f>
        <v>-4.8702916817140354E-2</v>
      </c>
      <c r="P144" s="185">
        <f t="shared" ref="P144:P207" si="38">180/PI()*IMARGUMENT(N144)</f>
        <v>-0.33078010361938304</v>
      </c>
      <c r="Q144" s="132">
        <f t="shared" ref="Q144:Q207" si="39">2*PI()*C144</f>
        <v>1197.2362786514577</v>
      </c>
      <c r="R144" s="132">
        <f t="shared" si="22"/>
        <v>2.2800000000000011</v>
      </c>
      <c r="S144" s="164">
        <f t="shared" ref="S144:S207" si="40">20*LOG(IMABS(N144)*$F$62)</f>
        <v>14.998250822559879</v>
      </c>
      <c r="T144" s="132" t="str">
        <f t="shared" ref="T144:T207" si="41">COMPLEX(1,Q144*(R_1+R_2)*C_1*10^-12)</f>
        <v>1+0.0166511621634845i</v>
      </c>
      <c r="U144" s="138">
        <f t="shared" ref="U144:U207" si="42">20*LOG(IMABS(AE153))</f>
        <v>29.844614794515874</v>
      </c>
      <c r="V144" s="132">
        <f t="shared" ref="V144:V207" si="43">IF(180/PI()*IMARGUMENT(AE153)&lt;0,180/PI()*IMARGUMENT(AE153)+360,180/PI()*IMARGUMENT(AE153))</f>
        <v>105.96843194226138</v>
      </c>
      <c r="W144" s="132">
        <f t="shared" ref="W144:W207" si="44">20*LOG(IMABS(Y144))</f>
        <v>59.982514933255501</v>
      </c>
      <c r="X144" s="138">
        <f t="shared" ref="X144:X207" si="45">180/PI()*IMARGUMENT(Y144)</f>
        <v>-3.6353717623704647</v>
      </c>
      <c r="Y144" s="128" t="str">
        <f t="shared" ref="Y144:Y207" si="46">IMDIV(10^(DCGAIN/20),IMPRODUCT(COMPLEX(1,2*PI()*C144/(2*PI()*(GBWP*10^6/10^(DCGAIN/20)))),COMPLEX(1,2*PI()*C144/(2*PI()*EAP*10^6))))</f>
        <v>995.980803015106-63.2791311401988i</v>
      </c>
      <c r="Z144" s="128" t="str">
        <f t="shared" ref="Z144:Z207" si="47">IMDIV(1,COMPLEX(0,2*PI()*C144*C_3*10^-12))</f>
        <v>-69604751.225212i</v>
      </c>
      <c r="AA144" s="128" t="str">
        <f t="shared" si="23"/>
        <v>64900-5746421.13608311i</v>
      </c>
      <c r="AB144" s="128" t="str">
        <f t="shared" si="24"/>
        <v>5900-10535105.4161524i</v>
      </c>
      <c r="AC144" s="128" t="str">
        <f t="shared" si="25"/>
        <v>58359.8195611419-5449226.54878502i</v>
      </c>
      <c r="AD144" s="128" t="str">
        <f t="shared" si="26"/>
        <v>109987.366069715-1148.40196178108i</v>
      </c>
      <c r="AE144" s="128" t="str">
        <f t="shared" si="27"/>
        <v>-17.0332348765596+41.9661880161125i</v>
      </c>
      <c r="AF144" s="130"/>
      <c r="AG144" s="130"/>
      <c r="AH144" s="130"/>
      <c r="AI144" s="130"/>
      <c r="AJ144" s="130"/>
      <c r="AK144" s="130"/>
      <c r="AL144" s="130"/>
      <c r="AM144" s="130"/>
      <c r="AN144" s="130"/>
      <c r="AO144" s="130"/>
      <c r="AP144" s="130"/>
      <c r="AQ144" s="130"/>
      <c r="AR144" s="130"/>
      <c r="AS144" s="130"/>
    </row>
    <row r="145" spans="1:45" s="166" customFormat="1" x14ac:dyDescent="0.2">
      <c r="A145" s="132">
        <f t="shared" ref="A145:A208" si="48">ROUND(ABS(D145),3)</f>
        <v>44.466999999999999</v>
      </c>
      <c r="B145" s="132">
        <f t="shared" ref="B145:B208" si="49">LOG(C145)</f>
        <v>2.3000000000000012</v>
      </c>
      <c r="C145" s="138">
        <f t="shared" si="28"/>
        <v>199.52623149688853</v>
      </c>
      <c r="D145" s="137">
        <f t="shared" si="29"/>
        <v>44.466760617601814</v>
      </c>
      <c r="E145" s="132">
        <f t="shared" si="30"/>
        <v>105.09385369526187</v>
      </c>
      <c r="G145" s="138"/>
      <c r="H145" s="184" t="str">
        <f t="shared" si="31"/>
        <v>0.5-3.62574662028785i</v>
      </c>
      <c r="I145" s="132" t="str">
        <f t="shared" si="32"/>
        <v>0.01-18.1287331014392i</v>
      </c>
      <c r="J145" s="132" t="str">
        <f t="shared" si="33"/>
        <v>0.347314505794965-3.02936792851819i</v>
      </c>
      <c r="K145" s="132"/>
      <c r="L145" s="132" t="str">
        <f t="shared" si="34"/>
        <v>1.10857232398049-0.473440952237519i</v>
      </c>
      <c r="M145" s="132" t="str">
        <f t="shared" si="35"/>
        <v>0.009+0.00413707894425594i</v>
      </c>
      <c r="N145" s="132" t="str">
        <f t="shared" si="36"/>
        <v>0.994475547057083-0.00602173654786271i</v>
      </c>
      <c r="O145" s="185">
        <f t="shared" si="37"/>
        <v>-4.7958591145339381E-2</v>
      </c>
      <c r="P145" s="185">
        <f t="shared" si="38"/>
        <v>-0.34693248505760854</v>
      </c>
      <c r="Q145" s="132">
        <f t="shared" si="39"/>
        <v>1253.6602861381627</v>
      </c>
      <c r="R145" s="132">
        <f t="shared" ref="R145:R208" si="50">R144+0.02</f>
        <v>2.3000000000000012</v>
      </c>
      <c r="S145" s="164">
        <f t="shared" si="40"/>
        <v>14.998995148231678</v>
      </c>
      <c r="T145" s="132" t="str">
        <f t="shared" si="41"/>
        <v>1+0.0174359072596096i</v>
      </c>
      <c r="U145" s="138">
        <f t="shared" si="42"/>
        <v>29.467765469370136</v>
      </c>
      <c r="V145" s="132">
        <f t="shared" si="43"/>
        <v>105.44078618031948</v>
      </c>
      <c r="W145" s="132">
        <f t="shared" si="44"/>
        <v>59.980831723086553</v>
      </c>
      <c r="X145" s="138">
        <f t="shared" si="45"/>
        <v>-3.806209665919098</v>
      </c>
      <c r="Y145" s="128" t="str">
        <f t="shared" si="46"/>
        <v>995.594745830431-66.2357085343579i</v>
      </c>
      <c r="Z145" s="128" t="str">
        <f t="shared" si="47"/>
        <v>-66472021.3719437i</v>
      </c>
      <c r="AA145" s="128" t="str">
        <f t="shared" si="23"/>
        <v>64900-5487789.58111623i</v>
      </c>
      <c r="AB145" s="128" t="str">
        <f t="shared" si="24"/>
        <v>5900-10060947.5653798i</v>
      </c>
      <c r="AC145" s="128" t="str">
        <f t="shared" si="25"/>
        <v>58359.8176397146-5203974.09475313i</v>
      </c>
      <c r="AD145" s="128" t="str">
        <f t="shared" si="26"/>
        <v>109986.147332645-1202.5104392239i</v>
      </c>
      <c r="AE145" s="128" t="str">
        <f t="shared" si="27"/>
        <v>-15.788903724664+40.5305873577589i</v>
      </c>
      <c r="AF145" s="130"/>
      <c r="AG145" s="130"/>
      <c r="AH145" s="130"/>
      <c r="AI145" s="130"/>
      <c r="AJ145" s="130"/>
      <c r="AK145" s="130"/>
      <c r="AL145" s="130"/>
      <c r="AM145" s="130"/>
      <c r="AN145" s="130"/>
      <c r="AO145" s="130"/>
      <c r="AP145" s="130"/>
      <c r="AQ145" s="130"/>
      <c r="AR145" s="130"/>
      <c r="AS145" s="130"/>
    </row>
    <row r="146" spans="1:45" s="166" customFormat="1" x14ac:dyDescent="0.2">
      <c r="A146" s="132">
        <f t="shared" si="48"/>
        <v>44.088999999999999</v>
      </c>
      <c r="B146" s="132">
        <f t="shared" si="49"/>
        <v>2.3200000000000016</v>
      </c>
      <c r="C146" s="138">
        <f t="shared" si="28"/>
        <v>208.9296130854047</v>
      </c>
      <c r="D146" s="137">
        <f t="shared" si="29"/>
        <v>44.088838018346472</v>
      </c>
      <c r="E146" s="132">
        <f t="shared" si="30"/>
        <v>104.57786432361586</v>
      </c>
      <c r="G146" s="138"/>
      <c r="H146" s="184" t="str">
        <f t="shared" si="31"/>
        <v>0.5-3.46256114116717i</v>
      </c>
      <c r="I146" s="132" t="str">
        <f t="shared" si="32"/>
        <v>0.01-17.3128057058359i</v>
      </c>
      <c r="J146" s="132" t="str">
        <f t="shared" si="33"/>
        <v>0.347296620426734-2.89375249066634i</v>
      </c>
      <c r="K146" s="132"/>
      <c r="L146" s="132" t="str">
        <f t="shared" si="34"/>
        <v>1.08949032863252-0.484251777571214i</v>
      </c>
      <c r="M146" s="132" t="str">
        <f t="shared" si="35"/>
        <v>0.009+0.00433205346807067i</v>
      </c>
      <c r="N146" s="132" t="str">
        <f t="shared" si="36"/>
        <v>0.994566907706259-0.0063173078923224i</v>
      </c>
      <c r="O146" s="185">
        <f t="shared" si="37"/>
        <v>-4.7144688337081908E-2</v>
      </c>
      <c r="P146" s="185">
        <f t="shared" si="38"/>
        <v>-0.36392746396872233</v>
      </c>
      <c r="Q146" s="132">
        <f t="shared" si="39"/>
        <v>1312.7434751729306</v>
      </c>
      <c r="R146" s="132">
        <f t="shared" si="50"/>
        <v>2.3200000000000012</v>
      </c>
      <c r="S146" s="164">
        <f t="shared" si="40"/>
        <v>14.999809051039934</v>
      </c>
      <c r="T146" s="132" t="str">
        <f t="shared" si="41"/>
        <v>1+0.0182576362527051i</v>
      </c>
      <c r="U146" s="138">
        <f t="shared" si="42"/>
        <v>29.089028967306536</v>
      </c>
      <c r="V146" s="132">
        <f t="shared" si="43"/>
        <v>104.94179178758458</v>
      </c>
      <c r="W146" s="132">
        <f t="shared" si="44"/>
        <v>59.978986869340083</v>
      </c>
      <c r="X146" s="138">
        <f t="shared" si="45"/>
        <v>-3.9850263119228639</v>
      </c>
      <c r="Y146" s="128" t="str">
        <f t="shared" si="46"/>
        <v>995.171786282809-69.3278450484922i</v>
      </c>
      <c r="Z146" s="128" t="str">
        <f t="shared" si="47"/>
        <v>-63480287.5880647i</v>
      </c>
      <c r="AA146" s="128" t="str">
        <f t="shared" si="23"/>
        <v>64900-5240798.36361169i</v>
      </c>
      <c r="AB146" s="128" t="str">
        <f t="shared" si="24"/>
        <v>5900-9608130.33328813i</v>
      </c>
      <c r="AC146" s="128" t="str">
        <f t="shared" si="25"/>
        <v>58359.8155329115-4969759.96748496i</v>
      </c>
      <c r="AD146" s="128" t="str">
        <f t="shared" si="26"/>
        <v>109984.811046727-1259.16689102357i</v>
      </c>
      <c r="AE146" s="128" t="str">
        <f t="shared" si="27"/>
        <v>-14.6292478936565+39.1096850814582i</v>
      </c>
      <c r="AF146" s="130"/>
      <c r="AG146" s="130"/>
      <c r="AH146" s="130"/>
      <c r="AI146" s="130"/>
      <c r="AJ146" s="130"/>
      <c r="AK146" s="130"/>
      <c r="AL146" s="130"/>
      <c r="AM146" s="130"/>
      <c r="AN146" s="130"/>
      <c r="AO146" s="130"/>
      <c r="AP146" s="130"/>
      <c r="AQ146" s="130"/>
      <c r="AR146" s="130"/>
      <c r="AS146" s="130"/>
    </row>
    <row r="147" spans="1:45" s="166" customFormat="1" x14ac:dyDescent="0.2">
      <c r="A147" s="132">
        <f t="shared" si="48"/>
        <v>43.709000000000003</v>
      </c>
      <c r="B147" s="132">
        <f t="shared" si="49"/>
        <v>2.3400000000000016</v>
      </c>
      <c r="C147" s="138">
        <f t="shared" si="28"/>
        <v>218.776162394956</v>
      </c>
      <c r="D147" s="137">
        <f t="shared" si="29"/>
        <v>43.709257417580517</v>
      </c>
      <c r="E147" s="132">
        <f t="shared" si="30"/>
        <v>104.0890710086537</v>
      </c>
      <c r="G147" s="138"/>
      <c r="H147" s="184" t="str">
        <f t="shared" si="31"/>
        <v>0.5-3.30672021846057i</v>
      </c>
      <c r="I147" s="132" t="str">
        <f t="shared" si="32"/>
        <v>0.01-16.5336010923029i</v>
      </c>
      <c r="J147" s="132" t="str">
        <f t="shared" si="33"/>
        <v>0.347277011689019-2.76427500506698i</v>
      </c>
      <c r="K147" s="132"/>
      <c r="L147" s="132" t="str">
        <f t="shared" si="34"/>
        <v>1.06957030778929-0.494501420128224i</v>
      </c>
      <c r="M147" s="132" t="str">
        <f t="shared" si="35"/>
        <v>0.009+0.00453621685809971i</v>
      </c>
      <c r="N147" s="132" t="str">
        <f t="shared" si="36"/>
        <v>0.994666772098501-0.00662850896164364i</v>
      </c>
      <c r="O147" s="185">
        <f t="shared" si="37"/>
        <v>-4.6254933712828683E-2</v>
      </c>
      <c r="P147" s="185">
        <f t="shared" si="38"/>
        <v>-0.38181627931368811</v>
      </c>
      <c r="Q147" s="132">
        <f t="shared" si="39"/>
        <v>1374.6111691211227</v>
      </c>
      <c r="R147" s="132">
        <f t="shared" si="50"/>
        <v>2.3400000000000012</v>
      </c>
      <c r="S147" s="164">
        <f t="shared" si="40"/>
        <v>15.000698805664188</v>
      </c>
      <c r="T147" s="132" t="str">
        <f t="shared" si="41"/>
        <v>1+0.0191180921401366i</v>
      </c>
      <c r="U147" s="138">
        <f t="shared" si="42"/>
        <v>28.708558611916331</v>
      </c>
      <c r="V147" s="132">
        <f t="shared" si="43"/>
        <v>104.47088728796739</v>
      </c>
      <c r="W147" s="132">
        <f t="shared" si="44"/>
        <v>59.976964927765806</v>
      </c>
      <c r="X147" s="138">
        <f t="shared" si="45"/>
        <v>-4.1721870419530429</v>
      </c>
      <c r="Y147" s="128" t="str">
        <f t="shared" si="46"/>
        <v>994.708433096982-72.5613755145148i</v>
      </c>
      <c r="Z147" s="128" t="str">
        <f t="shared" si="47"/>
        <v>-60623204.0051104i</v>
      </c>
      <c r="AA147" s="128" t="str">
        <f t="shared" si="23"/>
        <v>64900-5004923.58208244i</v>
      </c>
      <c r="AB147" s="128" t="str">
        <f t="shared" si="24"/>
        <v>5900-9175693.23381784i</v>
      </c>
      <c r="AC147" s="128" t="str">
        <f t="shared" si="25"/>
        <v>58359.813222848-4746087.3674149i</v>
      </c>
      <c r="AD147" s="128" t="str">
        <f t="shared" si="26"/>
        <v>109983.345877678-1318.49109151059i</v>
      </c>
      <c r="AE147" s="128" t="str">
        <f t="shared" si="27"/>
        <v>-13.550337489276+37.7076976380724i</v>
      </c>
      <c r="AF147" s="130"/>
      <c r="AG147" s="130"/>
      <c r="AH147" s="130"/>
      <c r="AI147" s="130"/>
      <c r="AJ147" s="130"/>
      <c r="AK147" s="130"/>
      <c r="AL147" s="130"/>
      <c r="AM147" s="130"/>
      <c r="AN147" s="130"/>
      <c r="AO147" s="130"/>
      <c r="AP147" s="130"/>
      <c r="AQ147" s="130"/>
      <c r="AR147" s="130"/>
      <c r="AS147" s="130"/>
    </row>
    <row r="148" spans="1:45" s="166" customFormat="1" x14ac:dyDescent="0.2">
      <c r="A148" s="132">
        <f t="shared" si="48"/>
        <v>43.328000000000003</v>
      </c>
      <c r="B148" s="132">
        <f t="shared" si="49"/>
        <v>2.3600000000000012</v>
      </c>
      <c r="C148" s="138">
        <f t="shared" si="28"/>
        <v>229.08676527677804</v>
      </c>
      <c r="D148" s="137">
        <f t="shared" si="29"/>
        <v>43.328168507349375</v>
      </c>
      <c r="E148" s="132">
        <f t="shared" si="30"/>
        <v>103.62685843492629</v>
      </c>
      <c r="G148" s="138"/>
      <c r="H148" s="184" t="str">
        <f t="shared" si="31"/>
        <v>0.5-3.15789329267703i</v>
      </c>
      <c r="I148" s="132" t="str">
        <f t="shared" si="32"/>
        <v>0.01-15.7894664633852i</v>
      </c>
      <c r="J148" s="132" t="str">
        <f t="shared" si="33"/>
        <v>0.347255513754432-2.64066082007439i</v>
      </c>
      <c r="K148" s="132"/>
      <c r="L148" s="132" t="str">
        <f t="shared" si="34"/>
        <v>1.04884571379687-0.504110236453861i</v>
      </c>
      <c r="M148" s="132" t="str">
        <f t="shared" si="35"/>
        <v>0.009+0.00475000217226596i</v>
      </c>
      <c r="N148" s="132" t="str">
        <f t="shared" si="36"/>
        <v>0.994775899852698-0.00695631692765563i</v>
      </c>
      <c r="O148" s="185">
        <f t="shared" si="37"/>
        <v>-4.5282531531066691E-2</v>
      </c>
      <c r="P148" s="185">
        <f t="shared" si="38"/>
        <v>-0.40065416192483072</v>
      </c>
      <c r="Q148" s="132">
        <f t="shared" si="39"/>
        <v>1439.3945976563505</v>
      </c>
      <c r="R148" s="132">
        <f t="shared" si="50"/>
        <v>2.3600000000000012</v>
      </c>
      <c r="S148" s="164">
        <f t="shared" si="40"/>
        <v>15.00167120784595</v>
      </c>
      <c r="T148" s="132" t="str">
        <f t="shared" si="41"/>
        <v>1+0.0200191000642045i</v>
      </c>
      <c r="U148" s="138">
        <f t="shared" si="42"/>
        <v>28.326497299503423</v>
      </c>
      <c r="V148" s="132">
        <f t="shared" si="43"/>
        <v>104.02751259685112</v>
      </c>
      <c r="W148" s="132">
        <f t="shared" si="44"/>
        <v>59.974748994344786</v>
      </c>
      <c r="X148" s="138">
        <f t="shared" si="45"/>
        <v>-4.3680728508347784</v>
      </c>
      <c r="Y148" s="128" t="str">
        <f t="shared" si="46"/>
        <v>994.200871954895-75.9423292736821i</v>
      </c>
      <c r="Z148" s="128" t="str">
        <f t="shared" si="47"/>
        <v>-57894710.3657456i</v>
      </c>
      <c r="AA148" s="128" t="str">
        <f t="shared" si="23"/>
        <v>64900-4779664.91449257i</v>
      </c>
      <c r="AB148" s="128" t="str">
        <f t="shared" si="24"/>
        <v>5900-8762719.00990303i</v>
      </c>
      <c r="AC148" s="128" t="str">
        <f t="shared" si="25"/>
        <v>58359.810689914-4532481.85496982i</v>
      </c>
      <c r="AD148" s="128" t="str">
        <f t="shared" si="26"/>
        <v>109981.739399035-1380.60841420066i</v>
      </c>
      <c r="AE148" s="128" t="str">
        <f t="shared" si="27"/>
        <v>-12.5481337138653+36.3282893287188i</v>
      </c>
      <c r="AF148" s="130"/>
      <c r="AG148" s="130"/>
      <c r="AH148" s="130"/>
      <c r="AI148" s="130"/>
      <c r="AJ148" s="130"/>
      <c r="AK148" s="130"/>
      <c r="AL148" s="130"/>
      <c r="AM148" s="130"/>
      <c r="AN148" s="130"/>
      <c r="AO148" s="130"/>
      <c r="AP148" s="130"/>
      <c r="AQ148" s="130"/>
      <c r="AR148" s="130"/>
      <c r="AS148" s="130"/>
    </row>
    <row r="149" spans="1:45" s="166" customFormat="1" x14ac:dyDescent="0.2">
      <c r="A149" s="132">
        <f t="shared" si="48"/>
        <v>42.945999999999998</v>
      </c>
      <c r="B149" s="132">
        <f t="shared" si="49"/>
        <v>2.3800000000000012</v>
      </c>
      <c r="C149" s="138">
        <f t="shared" si="28"/>
        <v>239.88329190194978</v>
      </c>
      <c r="D149" s="137">
        <f t="shared" si="29"/>
        <v>42.945711663135512</v>
      </c>
      <c r="E149" s="132">
        <f t="shared" si="30"/>
        <v>103.19061343199127</v>
      </c>
      <c r="G149" s="138"/>
      <c r="H149" s="184" t="str">
        <f t="shared" si="31"/>
        <v>0.5-3.01576468195338i</v>
      </c>
      <c r="I149" s="132" t="str">
        <f t="shared" si="32"/>
        <v>0.01-15.0788234097669i</v>
      </c>
      <c r="J149" s="132" t="str">
        <f t="shared" si="33"/>
        <v>0.347231944885746-2.52264771903625i</v>
      </c>
      <c r="K149" s="132"/>
      <c r="L149" s="132" t="str">
        <f t="shared" si="34"/>
        <v>1.02735981935106-0.513000044115141i</v>
      </c>
      <c r="M149" s="132" t="str">
        <f t="shared" si="35"/>
        <v>0.009+0.00497386287788347i</v>
      </c>
      <c r="N149" s="132" t="str">
        <f t="shared" si="36"/>
        <v>0.99489511219502-0.00730178784799868i</v>
      </c>
      <c r="O149" s="185">
        <f t="shared" si="37"/>
        <v>-4.4220130463399399E-2</v>
      </c>
      <c r="P149" s="185">
        <f t="shared" si="38"/>
        <v>-0.42050072421811674</v>
      </c>
      <c r="Q149" s="132">
        <f t="shared" si="39"/>
        <v>1507.2311751162026</v>
      </c>
      <c r="R149" s="132">
        <f t="shared" si="50"/>
        <v>2.3800000000000012</v>
      </c>
      <c r="S149" s="164">
        <f t="shared" si="40"/>
        <v>15.002733608913619</v>
      </c>
      <c r="T149" s="132" t="str">
        <f t="shared" si="41"/>
        <v>1+0.0209625711835161i</v>
      </c>
      <c r="U149" s="138">
        <f t="shared" si="42"/>
        <v>27.942978054221893</v>
      </c>
      <c r="V149" s="132">
        <f t="shared" si="43"/>
        <v>103.61111415620938</v>
      </c>
      <c r="W149" s="132">
        <f t="shared" si="44"/>
        <v>59.972320570498411</v>
      </c>
      <c r="X149" s="138">
        <f t="shared" si="45"/>
        <v>-4.5730808972178298</v>
      </c>
      <c r="Y149" s="128" t="str">
        <f t="shared" si="46"/>
        <v>993.644937065654-79.4769278241812i</v>
      </c>
      <c r="Z149" s="128" t="str">
        <f t="shared" si="47"/>
        <v>-55289019.1691455i</v>
      </c>
      <c r="AA149" s="128" t="str">
        <f t="shared" si="23"/>
        <v>64900-4564544.5570072i</v>
      </c>
      <c r="AB149" s="128" t="str">
        <f t="shared" si="24"/>
        <v>5900-8368331.68784651i</v>
      </c>
      <c r="AC149" s="128" t="str">
        <f t="shared" si="25"/>
        <v>58359.8079126074-4328490.34421925i</v>
      </c>
      <c r="AD149" s="128" t="str">
        <f t="shared" si="26"/>
        <v>109979.977987064-1445.65008892638i</v>
      </c>
      <c r="AE149" s="128" t="str">
        <f t="shared" si="27"/>
        <v>-11.618547269628+34.9746017114118i</v>
      </c>
      <c r="AF149" s="130"/>
      <c r="AG149" s="130"/>
      <c r="AH149" s="130"/>
      <c r="AI149" s="130"/>
      <c r="AJ149" s="130"/>
      <c r="AK149" s="130"/>
      <c r="AL149" s="130"/>
      <c r="AM149" s="130"/>
      <c r="AN149" s="130"/>
      <c r="AO149" s="130"/>
      <c r="AP149" s="130"/>
      <c r="AQ149" s="130"/>
      <c r="AR149" s="130"/>
      <c r="AS149" s="130"/>
    </row>
    <row r="150" spans="1:45" s="166" customFormat="1" x14ac:dyDescent="0.2">
      <c r="A150" s="132">
        <f t="shared" si="48"/>
        <v>42.561999999999998</v>
      </c>
      <c r="B150" s="132">
        <f t="shared" si="49"/>
        <v>2.4000000000000017</v>
      </c>
      <c r="C150" s="138">
        <f t="shared" si="28"/>
        <v>251.18864315095894</v>
      </c>
      <c r="D150" s="137">
        <f t="shared" si="29"/>
        <v>42.56201854645326</v>
      </c>
      <c r="E150" s="132">
        <f t="shared" si="30"/>
        <v>102.77972909071606</v>
      </c>
      <c r="G150" s="138"/>
      <c r="H150" s="184" t="str">
        <f t="shared" si="31"/>
        <v>0.5-2.88003291245078i</v>
      </c>
      <c r="I150" s="132" t="str">
        <f t="shared" si="32"/>
        <v>0.01-14.4001645622539i</v>
      </c>
      <c r="J150" s="132" t="str">
        <f t="shared" si="33"/>
        <v>0.347206105918881-2.40998536382345i</v>
      </c>
      <c r="K150" s="132"/>
      <c r="L150" s="132" t="str">
        <f t="shared" si="34"/>
        <v>1.00516578926249-0.521095543530044i</v>
      </c>
      <c r="M150" s="132" t="str">
        <f t="shared" si="35"/>
        <v>0.009+0.00520827381352239i</v>
      </c>
      <c r="N150" s="132" t="str">
        <f t="shared" si="36"/>
        <v>0.99502529572896-0.00766606456249079i</v>
      </c>
      <c r="O150" s="185">
        <f t="shared" si="37"/>
        <v>-4.3059788532391452E-2</v>
      </c>
      <c r="P150" s="185">
        <f t="shared" si="38"/>
        <v>-0.44142039050115239</v>
      </c>
      <c r="Q150" s="132">
        <f t="shared" si="39"/>
        <v>1578.2647919764813</v>
      </c>
      <c r="R150" s="132">
        <f t="shared" si="50"/>
        <v>2.4000000000000012</v>
      </c>
      <c r="S150" s="164">
        <f t="shared" si="40"/>
        <v>15.003893950844628</v>
      </c>
      <c r="T150" s="132" t="str">
        <f t="shared" si="41"/>
        <v>1+0.0219505067268089i</v>
      </c>
      <c r="U150" s="138">
        <f t="shared" si="42"/>
        <v>27.558124595608628</v>
      </c>
      <c r="V150" s="132">
        <f t="shared" si="43"/>
        <v>103.22114948121721</v>
      </c>
      <c r="W150" s="132">
        <f t="shared" si="44"/>
        <v>59.969659416491439</v>
      </c>
      <c r="X150" s="138">
        <f t="shared" si="45"/>
        <v>-4.7876250057528145</v>
      </c>
      <c r="Y150" s="128" t="str">
        <f t="shared" si="46"/>
        <v>993.036080529629-83.1715807536938i</v>
      </c>
      <c r="Z150" s="128" t="str">
        <f t="shared" si="47"/>
        <v>-52800603.3949308i</v>
      </c>
      <c r="AA150" s="128" t="str">
        <f t="shared" si="23"/>
        <v>64900-4359106.21050637i</v>
      </c>
      <c r="AB150" s="128" t="str">
        <f t="shared" si="24"/>
        <v>5900-7991694.71926167i</v>
      </c>
      <c r="AC150" s="128" t="str">
        <f t="shared" si="25"/>
        <v>58359.8048673515-4133680.14181916i</v>
      </c>
      <c r="AD150" s="128" t="str">
        <f t="shared" si="26"/>
        <v>109978.046705568-1513.75347008913i</v>
      </c>
      <c r="AE150" s="128" t="str">
        <f t="shared" si="27"/>
        <v>-10.7574886117345+33.6492868498617i</v>
      </c>
      <c r="AF150" s="130"/>
      <c r="AG150" s="130"/>
      <c r="AH150" s="130"/>
      <c r="AI150" s="130"/>
      <c r="AJ150" s="130"/>
      <c r="AK150" s="130"/>
      <c r="AL150" s="130"/>
      <c r="AM150" s="130"/>
      <c r="AN150" s="130"/>
      <c r="AO150" s="130"/>
      <c r="AP150" s="130"/>
      <c r="AQ150" s="130"/>
      <c r="AR150" s="130"/>
      <c r="AS150" s="130"/>
    </row>
    <row r="151" spans="1:45" s="166" customFormat="1" x14ac:dyDescent="0.2">
      <c r="A151" s="132">
        <f t="shared" si="48"/>
        <v>42.177</v>
      </c>
      <c r="B151" s="132">
        <f t="shared" si="49"/>
        <v>2.4200000000000017</v>
      </c>
      <c r="C151" s="138">
        <f t="shared" si="28"/>
        <v>263.02679918953913</v>
      </c>
      <c r="D151" s="137">
        <f t="shared" si="29"/>
        <v>42.177212711786218</v>
      </c>
      <c r="E151" s="132">
        <f t="shared" si="30"/>
        <v>102.39360829511062</v>
      </c>
      <c r="G151" s="138"/>
      <c r="H151" s="184" t="str">
        <f t="shared" si="31"/>
        <v>0.5-2.75041007888822i</v>
      </c>
      <c r="I151" s="132" t="str">
        <f t="shared" si="32"/>
        <v>0.01-13.7520503944411i</v>
      </c>
      <c r="J151" s="132" t="str">
        <f t="shared" si="33"/>
        <v>0.34717777860313-2.3024347635157i</v>
      </c>
      <c r="K151" s="132"/>
      <c r="L151" s="132" t="str">
        <f t="shared" si="34"/>
        <v>0.982326511636705-0.528325795263394i</v>
      </c>
      <c r="M151" s="132" t="str">
        <f t="shared" si="35"/>
        <v>0.009+0.00545373219620522i</v>
      </c>
      <c r="N151" s="132" t="str">
        <f t="shared" si="36"/>
        <v>0.995167406185805-0.00805038541804194i</v>
      </c>
      <c r="O151" s="185">
        <f t="shared" si="37"/>
        <v>-4.1792937910957492E-2</v>
      </c>
      <c r="P151" s="185">
        <f t="shared" si="38"/>
        <v>-0.46348287134344229</v>
      </c>
      <c r="Q151" s="132">
        <f t="shared" si="39"/>
        <v>1652.6461200621877</v>
      </c>
      <c r="R151" s="132">
        <f t="shared" si="50"/>
        <v>2.4200000000000013</v>
      </c>
      <c r="S151" s="164">
        <f t="shared" si="40"/>
        <v>15.00516080146606</v>
      </c>
      <c r="T151" s="132" t="str">
        <f t="shared" si="41"/>
        <v>1+0.0229850022378249i</v>
      </c>
      <c r="U151" s="138">
        <f t="shared" si="42"/>
        <v>27.172051910320157</v>
      </c>
      <c r="V151" s="132">
        <f t="shared" si="43"/>
        <v>102.85709116645407</v>
      </c>
      <c r="W151" s="132">
        <f t="shared" si="44"/>
        <v>59.966743392125011</v>
      </c>
      <c r="X151" s="138">
        <f t="shared" si="45"/>
        <v>-5.0121361559711683</v>
      </c>
      <c r="Y151" s="128" t="str">
        <f t="shared" si="46"/>
        <v>992.369339387394-87.032879664202i</v>
      </c>
      <c r="Z151" s="128" t="str">
        <f t="shared" si="47"/>
        <v>-50424184.7796172i</v>
      </c>
      <c r="AA151" s="128" t="str">
        <f t="shared" si="23"/>
        <v>64900-4162914.11271359i</v>
      </c>
      <c r="AB151" s="128" t="str">
        <f t="shared" si="24"/>
        <v>5900-7632009.20664159i</v>
      </c>
      <c r="AC151" s="128" t="str">
        <f t="shared" si="25"/>
        <v>58359.8015282953-3947638.02921158i</v>
      </c>
      <c r="AD151" s="128" t="str">
        <f t="shared" si="26"/>
        <v>109975.929179657-1585.06231640744i</v>
      </c>
      <c r="AE151" s="128" t="str">
        <f t="shared" si="27"/>
        <v>-9.96091039987113+32.354543013517i</v>
      </c>
      <c r="AF151" s="130"/>
      <c r="AG151" s="130"/>
      <c r="AH151" s="130"/>
      <c r="AI151" s="130"/>
      <c r="AJ151" s="130"/>
      <c r="AK151" s="130"/>
      <c r="AL151" s="130"/>
      <c r="AM151" s="130"/>
      <c r="AN151" s="130"/>
      <c r="AO151" s="130"/>
      <c r="AP151" s="130"/>
      <c r="AQ151" s="130"/>
      <c r="AR151" s="130"/>
      <c r="AS151" s="130"/>
    </row>
    <row r="152" spans="1:45" s="166" customFormat="1" x14ac:dyDescent="0.2">
      <c r="A152" s="132">
        <f t="shared" si="48"/>
        <v>41.790999999999997</v>
      </c>
      <c r="B152" s="132">
        <f t="shared" si="49"/>
        <v>2.4400000000000013</v>
      </c>
      <c r="C152" s="138">
        <f t="shared" si="28"/>
        <v>275.42287033381757</v>
      </c>
      <c r="D152" s="137">
        <f t="shared" si="29"/>
        <v>41.791410210722646</v>
      </c>
      <c r="E152" s="132">
        <f t="shared" si="30"/>
        <v>102.03166671463521</v>
      </c>
      <c r="G152" s="138"/>
      <c r="H152" s="184" t="str">
        <f t="shared" si="31"/>
        <v>0.5-2.62662123385688i</v>
      </c>
      <c r="I152" s="132" t="str">
        <f t="shared" si="32"/>
        <v>0.01-13.1331061692844i</v>
      </c>
      <c r="J152" s="132" t="str">
        <f t="shared" si="33"/>
        <v>0.347146723785603-2.19976776710996i</v>
      </c>
      <c r="K152" s="132"/>
      <c r="L152" s="132" t="str">
        <f t="shared" si="34"/>
        <v>0.958914170298369-0.534625706108957i</v>
      </c>
      <c r="M152" s="132" t="str">
        <f t="shared" si="35"/>
        <v>0.009+0.00571075867607081i</v>
      </c>
      <c r="N152" s="132" t="str">
        <f t="shared" si="36"/>
        <v>0.995322472092483-0.00845609389194941i</v>
      </c>
      <c r="O152" s="185">
        <f t="shared" si="37"/>
        <v>-4.0410350079929248E-2</v>
      </c>
      <c r="P152" s="185">
        <f t="shared" si="38"/>
        <v>-0.48676368550108473</v>
      </c>
      <c r="Q152" s="132">
        <f t="shared" si="39"/>
        <v>1730.5329321426709</v>
      </c>
      <c r="R152" s="132">
        <f t="shared" si="50"/>
        <v>2.4400000000000013</v>
      </c>
      <c r="S152" s="164">
        <f t="shared" si="40"/>
        <v>15.006543389297086</v>
      </c>
      <c r="T152" s="132" t="str">
        <f t="shared" si="41"/>
        <v>1+0.0240682520202403i</v>
      </c>
      <c r="U152" s="138">
        <f t="shared" si="42"/>
        <v>26.784866821425556</v>
      </c>
      <c r="V152" s="132">
        <f t="shared" si="43"/>
        <v>102.5184304001363</v>
      </c>
      <c r="W152" s="132">
        <f t="shared" si="44"/>
        <v>59.963548283773306</v>
      </c>
      <c r="X152" s="138">
        <f t="shared" si="45"/>
        <v>-5.2470629521455878</v>
      </c>
      <c r="Y152" s="128" t="str">
        <f t="shared" si="46"/>
        <v>991.639300252957-91.0675897575085i</v>
      </c>
      <c r="Z152" s="128" t="str">
        <f t="shared" si="47"/>
        <v>-48154722.6207093i</v>
      </c>
      <c r="AA152" s="128" t="str">
        <f t="shared" si="23"/>
        <v>64900-3975552.11388547i</v>
      </c>
      <c r="AB152" s="128" t="str">
        <f t="shared" si="24"/>
        <v>5900-7288512.20879005i</v>
      </c>
      <c r="AC152" s="128" t="str">
        <f t="shared" si="25"/>
        <v>58359.7978670933-3769969.38613247i</v>
      </c>
      <c r="AD152" s="128" t="str">
        <f t="shared" si="26"/>
        <v>109973.607457413-1659.72708253477i</v>
      </c>
      <c r="AE152" s="128" t="str">
        <f t="shared" si="27"/>
        <v>-9.22484264612034+31.0921516464019i</v>
      </c>
      <c r="AF152" s="130"/>
      <c r="AG152" s="130"/>
      <c r="AH152" s="130"/>
      <c r="AI152" s="130"/>
      <c r="AJ152" s="130"/>
      <c r="AK152" s="130"/>
      <c r="AL152" s="130"/>
      <c r="AM152" s="130"/>
      <c r="AN152" s="130"/>
      <c r="AO152" s="130"/>
      <c r="AP152" s="130"/>
      <c r="AQ152" s="130"/>
      <c r="AR152" s="130"/>
      <c r="AS152" s="130"/>
    </row>
    <row r="153" spans="1:45" s="166" customFormat="1" x14ac:dyDescent="0.2">
      <c r="A153" s="132">
        <f t="shared" si="48"/>
        <v>41.405000000000001</v>
      </c>
      <c r="B153" s="132">
        <f t="shared" si="49"/>
        <v>2.4600000000000013</v>
      </c>
      <c r="C153" s="138">
        <f t="shared" si="28"/>
        <v>288.40315031266152</v>
      </c>
      <c r="D153" s="137">
        <f t="shared" si="29"/>
        <v>41.404720187404976</v>
      </c>
      <c r="E153" s="132">
        <f t="shared" si="30"/>
        <v>101.69333530126457</v>
      </c>
      <c r="G153" s="138"/>
      <c r="H153" s="184" t="str">
        <f t="shared" si="31"/>
        <v>0.5-2.5084038046198i</v>
      </c>
      <c r="I153" s="132" t="str">
        <f t="shared" si="32"/>
        <v>0.01-12.542019023099i</v>
      </c>
      <c r="J153" s="132" t="str">
        <f t="shared" si="33"/>
        <v>0.347112679425719-2.10176657916906i</v>
      </c>
      <c r="K153" s="132"/>
      <c r="L153" s="132" t="str">
        <f t="shared" si="34"/>
        <v>0.935009550599617-0.539937471810668i</v>
      </c>
      <c r="M153" s="132" t="str">
        <f t="shared" si="35"/>
        <v>0.009+0.00597989844074311i</v>
      </c>
      <c r="N153" s="132" t="str">
        <f t="shared" si="36"/>
        <v>0.995491598279898-0.00888464918353627i</v>
      </c>
      <c r="O153" s="185">
        <f t="shared" si="37"/>
        <v>-3.8902101950700936E-2</v>
      </c>
      <c r="P153" s="185">
        <f t="shared" si="38"/>
        <v>-0.51134473282576809</v>
      </c>
      <c r="Q153" s="132">
        <f t="shared" si="39"/>
        <v>1812.0904365888205</v>
      </c>
      <c r="R153" s="132">
        <f t="shared" si="50"/>
        <v>2.4600000000000013</v>
      </c>
      <c r="S153" s="164">
        <f t="shared" si="40"/>
        <v>15.008051637426316</v>
      </c>
      <c r="T153" s="132" t="str">
        <f t="shared" si="41"/>
        <v>1+0.0252025537920773i</v>
      </c>
      <c r="U153" s="138">
        <f t="shared" si="42"/>
        <v>26.39666854997866</v>
      </c>
      <c r="V153" s="132">
        <f t="shared" si="43"/>
        <v>102.20468003409033</v>
      </c>
      <c r="W153" s="132">
        <f t="shared" si="44"/>
        <v>59.960047616779974</v>
      </c>
      <c r="X153" s="138">
        <f t="shared" si="45"/>
        <v>-5.4928720674769131</v>
      </c>
      <c r="Y153" s="128" t="str">
        <f t="shared" si="46"/>
        <v>990.840061443823-95.2826387071372i</v>
      </c>
      <c r="Z153" s="128" t="str">
        <f t="shared" si="47"/>
        <v>-45987403.0846964i</v>
      </c>
      <c r="AA153" s="128" t="str">
        <f t="shared" ref="AA153:AA216" si="51">IMSUM(R_3,IMDIV(1,COMPLEX(0,2*PI()*C144*C_2*10^-12)))</f>
        <v>64900-3796622.79410247i</v>
      </c>
      <c r="AB153" s="128" t="str">
        <f t="shared" ref="AB153:AB216" si="52">IMSUM(R_2,IMDIV(1,COMPLEX(0,2*PI()*C144*C_1*10^-12)))</f>
        <v>5900-6960475.1225212i</v>
      </c>
      <c r="AC153" s="128" t="str">
        <f t="shared" ref="AC153:AC216" si="53">IMDIV(IMPRODUCT(Z144,AA153),IMSUM(Z144,AA153))</f>
        <v>58359.7938526657-3600297.35356936i</v>
      </c>
      <c r="AD153" s="128" t="str">
        <f t="shared" ref="AD153:AD216" si="54">IMDIV(IMPRODUCT(AB153,R_1),IMSUM(AB153,R_1))</f>
        <v>109971.061858309-1737.9052229119i</v>
      </c>
      <c r="AE153" s="128" t="str">
        <f t="shared" ref="AE153:AE216" si="55">IMDIV(IMPRODUCT(-1,Y144),IMSUM(1,IMDIV(AD153,R_4),IMPRODUCT(IMDIV(AD153,AC153),IMSUM(1,Y144))))</f>
        <v>-8.54542115574226+29.8635146257743i</v>
      </c>
      <c r="AF153" s="130"/>
      <c r="AG153" s="130"/>
      <c r="AH153" s="130"/>
      <c r="AI153" s="130"/>
      <c r="AJ153" s="130"/>
      <c r="AK153" s="130"/>
      <c r="AL153" s="130"/>
      <c r="AM153" s="130"/>
      <c r="AN153" s="130"/>
      <c r="AO153" s="130"/>
      <c r="AP153" s="130"/>
      <c r="AQ153" s="130"/>
      <c r="AR153" s="130"/>
      <c r="AS153" s="130"/>
    </row>
    <row r="154" spans="1:45" s="166" customFormat="1" x14ac:dyDescent="0.2">
      <c r="A154" s="132">
        <f t="shared" si="48"/>
        <v>41.017000000000003</v>
      </c>
      <c r="B154" s="132">
        <f t="shared" si="49"/>
        <v>2.4800000000000018</v>
      </c>
      <c r="C154" s="138">
        <f t="shared" si="28"/>
        <v>301.99517204020276</v>
      </c>
      <c r="D154" s="137">
        <f t="shared" si="29"/>
        <v>41.017245460493157</v>
      </c>
      <c r="E154" s="132">
        <f t="shared" si="30"/>
        <v>101.37806233419585</v>
      </c>
      <c r="G154" s="138"/>
      <c r="H154" s="184" t="str">
        <f t="shared" si="31"/>
        <v>0.5-2.39550703615987i</v>
      </c>
      <c r="I154" s="132" t="str">
        <f t="shared" si="32"/>
        <v>0.01-11.9775351807993i</v>
      </c>
      <c r="J154" s="132" t="str">
        <f t="shared" si="33"/>
        <v>0.347075358424386-2.00822329737511i</v>
      </c>
      <c r="K154" s="132"/>
      <c r="L154" s="132" t="str">
        <f t="shared" si="34"/>
        <v>0.910701082731583-0.544211921384158i</v>
      </c>
      <c r="M154" s="132" t="str">
        <f t="shared" si="35"/>
        <v>0.009+0.00626172237174717i</v>
      </c>
      <c r="N154" s="132" t="str">
        <f t="shared" si="36"/>
        <v>0.995675969139273-0.00933763784239998i</v>
      </c>
      <c r="O154" s="185">
        <f t="shared" si="37"/>
        <v>-3.7257543682994172E-2</v>
      </c>
      <c r="P154" s="185">
        <f t="shared" si="38"/>
        <v>-0.53731492141412496</v>
      </c>
      <c r="Q154" s="132">
        <f t="shared" si="39"/>
        <v>1897.4916278021733</v>
      </c>
      <c r="R154" s="132">
        <f t="shared" si="50"/>
        <v>2.4800000000000013</v>
      </c>
      <c r="S154" s="164">
        <f t="shared" si="40"/>
        <v>15.009696195694023</v>
      </c>
      <c r="T154" s="132" t="str">
        <f t="shared" si="41"/>
        <v>1+0.0263903135594726i</v>
      </c>
      <c r="U154" s="138">
        <f t="shared" si="42"/>
        <v>26.007549264799135</v>
      </c>
      <c r="V154" s="132">
        <f t="shared" si="43"/>
        <v>101.91537725560997</v>
      </c>
      <c r="W154" s="132">
        <f t="shared" si="44"/>
        <v>59.956212452198649</v>
      </c>
      <c r="X154" s="138">
        <f t="shared" si="45"/>
        <v>-5.7500486549054814</v>
      </c>
      <c r="Y154" s="128" t="str">
        <f t="shared" si="46"/>
        <v>989.965192538745-99.6851023953598i</v>
      </c>
      <c r="Z154" s="128" t="str">
        <f t="shared" si="47"/>
        <v>-43917628.9962642i</v>
      </c>
      <c r="AA154" s="128" t="str">
        <f t="shared" si="51"/>
        <v>64900-3625746.62028785i</v>
      </c>
      <c r="AB154" s="128" t="str">
        <f t="shared" si="52"/>
        <v>5900-6647202.13719438i</v>
      </c>
      <c r="AC154" s="128" t="str">
        <f t="shared" si="53"/>
        <v>58359.7894509341-3438262.03439277i</v>
      </c>
      <c r="AD154" s="128" t="str">
        <f t="shared" si="54"/>
        <v>109968.270807108-1819.76150820793i</v>
      </c>
      <c r="AE154" s="128" t="str">
        <f t="shared" si="55"/>
        <v>-7.91890991367397+28.6696910227094i</v>
      </c>
      <c r="AF154" s="130"/>
      <c r="AG154" s="130"/>
      <c r="AH154" s="130"/>
      <c r="AI154" s="130"/>
      <c r="AJ154" s="130"/>
      <c r="AK154" s="130"/>
      <c r="AL154" s="130"/>
      <c r="AM154" s="130"/>
      <c r="AN154" s="130"/>
      <c r="AO154" s="130"/>
      <c r="AP154" s="130"/>
      <c r="AQ154" s="130"/>
      <c r="AR154" s="130"/>
      <c r="AS154" s="130"/>
    </row>
    <row r="155" spans="1:45" s="166" customFormat="1" x14ac:dyDescent="0.2">
      <c r="A155" s="132">
        <f t="shared" si="48"/>
        <v>40.628999999999998</v>
      </c>
      <c r="B155" s="132">
        <f t="shared" si="49"/>
        <v>2.5000000000000018</v>
      </c>
      <c r="C155" s="138">
        <f t="shared" si="28"/>
        <v>316.2277660168391</v>
      </c>
      <c r="D155" s="137">
        <f t="shared" si="29"/>
        <v>40.629083087748896</v>
      </c>
      <c r="E155" s="132">
        <f t="shared" si="30"/>
        <v>101.08531505326847</v>
      </c>
      <c r="G155" s="138"/>
      <c r="H155" s="184" t="str">
        <f t="shared" si="31"/>
        <v>0.5-2.28769145929486i</v>
      </c>
      <c r="I155" s="132" t="str">
        <f t="shared" si="32"/>
        <v>0.01-11.4384572964743i</v>
      </c>
      <c r="J155" s="132" t="str">
        <f t="shared" si="33"/>
        <v>0.347034446251269-1.91893947099842i</v>
      </c>
      <c r="K155" s="132"/>
      <c r="L155" s="132" t="str">
        <f t="shared" si="34"/>
        <v>0.886083639579791-0.547409708213659i</v>
      </c>
      <c r="M155" s="132" t="str">
        <f t="shared" si="35"/>
        <v>0.009+0.00655682825542545i</v>
      </c>
      <c r="N155" s="132" t="str">
        <f t="shared" si="36"/>
        <v>0.995876851516733-0.00981678649742811i</v>
      </c>
      <c r="O155" s="185">
        <f t="shared" si="37"/>
        <v>-3.5465269063399169E-2</v>
      </c>
      <c r="P155" s="185">
        <f t="shared" si="38"/>
        <v>-0.56477085193455112</v>
      </c>
      <c r="Q155" s="132">
        <f t="shared" si="39"/>
        <v>1986.9176531592275</v>
      </c>
      <c r="R155" s="132">
        <f t="shared" si="50"/>
        <v>2.5000000000000013</v>
      </c>
      <c r="S155" s="164">
        <f t="shared" si="40"/>
        <v>15.011488470313616</v>
      </c>
      <c r="T155" s="132" t="str">
        <f t="shared" si="41"/>
        <v>1+0.0276340507201385i</v>
      </c>
      <c r="U155" s="138">
        <f t="shared" si="42"/>
        <v>25.617594617435277</v>
      </c>
      <c r="V155" s="132">
        <f t="shared" si="43"/>
        <v>101.65008590520303</v>
      </c>
      <c r="W155" s="132">
        <f t="shared" si="44"/>
        <v>59.952011166839362</v>
      </c>
      <c r="X155" s="138">
        <f t="shared" si="45"/>
        <v>-6.0190967156672075</v>
      </c>
      <c r="Y155" s="128" t="str">
        <f t="shared" si="46"/>
        <v>989.007691318684-104.282187042963i</v>
      </c>
      <c r="Z155" s="128" t="str">
        <f t="shared" si="47"/>
        <v>-41941010.0870724i</v>
      </c>
      <c r="AA155" s="128" t="str">
        <f t="shared" si="51"/>
        <v>64900-3462561.14116717i</v>
      </c>
      <c r="AB155" s="128" t="str">
        <f t="shared" si="52"/>
        <v>5900-6348028.75880647i</v>
      </c>
      <c r="AC155" s="128" t="str">
        <f t="shared" si="53"/>
        <v>58359.784624532-3283519.72996613i</v>
      </c>
      <c r="AD155" s="128" t="str">
        <f t="shared" si="54"/>
        <v>109965.210651889-1905.46835468782i</v>
      </c>
      <c r="AE155" s="128" t="str">
        <f t="shared" si="55"/>
        <v>-7.34171809152949+27.5114327505538i</v>
      </c>
      <c r="AF155" s="130"/>
      <c r="AG155" s="130"/>
      <c r="AH155" s="130"/>
      <c r="AI155" s="130"/>
      <c r="AJ155" s="130"/>
      <c r="AK155" s="130"/>
      <c r="AL155" s="130"/>
      <c r="AM155" s="130"/>
      <c r="AN155" s="130"/>
      <c r="AO155" s="130"/>
      <c r="AP155" s="130"/>
      <c r="AQ155" s="130"/>
      <c r="AR155" s="130"/>
      <c r="AS155" s="130"/>
    </row>
    <row r="156" spans="1:45" s="166" customFormat="1" x14ac:dyDescent="0.2">
      <c r="A156" s="132">
        <f t="shared" si="48"/>
        <v>40.24</v>
      </c>
      <c r="B156" s="132">
        <f t="shared" si="49"/>
        <v>2.5200000000000014</v>
      </c>
      <c r="C156" s="138">
        <f t="shared" si="28"/>
        <v>331.13112148259222</v>
      </c>
      <c r="D156" s="137">
        <f t="shared" si="29"/>
        <v>40.240324910108356</v>
      </c>
      <c r="E156" s="132">
        <f t="shared" si="30"/>
        <v>100.81458092010656</v>
      </c>
      <c r="G156" s="138"/>
      <c r="H156" s="184" t="str">
        <f t="shared" si="31"/>
        <v>0.5-2.18472838273115i</v>
      </c>
      <c r="I156" s="132" t="str">
        <f t="shared" si="32"/>
        <v>0.01-10.9236419136557i</v>
      </c>
      <c r="J156" s="132" t="str">
        <f t="shared" si="33"/>
        <v>0.346989598352138-1.83372567933485i</v>
      </c>
      <c r="K156" s="132"/>
      <c r="L156" s="132" t="str">
        <f t="shared" si="34"/>
        <v>0.8612571191272-0.549502296721721i</v>
      </c>
      <c r="M156" s="132" t="str">
        <f t="shared" si="35"/>
        <v>0.009+0.00686584205092276i</v>
      </c>
      <c r="N156" s="132" t="str">
        <f t="shared" si="36"/>
        <v>0.996095597117606-0.010323975743677i</v>
      </c>
      <c r="O156" s="185">
        <f t="shared" si="37"/>
        <v>-3.3513089455495762E-2</v>
      </c>
      <c r="P156" s="185">
        <f t="shared" si="38"/>
        <v>-0.59381756157444066</v>
      </c>
      <c r="Q156" s="132">
        <f t="shared" si="39"/>
        <v>2080.5581972493219</v>
      </c>
      <c r="R156" s="132">
        <f t="shared" si="50"/>
        <v>2.5200000000000014</v>
      </c>
      <c r="S156" s="164">
        <f t="shared" si="40"/>
        <v>15.01344064992152</v>
      </c>
      <c r="T156" s="132" t="str">
        <f t="shared" si="41"/>
        <v>1+0.0289364034073436i</v>
      </c>
      <c r="U156" s="138">
        <f t="shared" si="42"/>
        <v>25.226884260186839</v>
      </c>
      <c r="V156" s="132">
        <f t="shared" si="43"/>
        <v>101.408398481681</v>
      </c>
      <c r="W156" s="132">
        <f t="shared" si="44"/>
        <v>59.947409215570516</v>
      </c>
      <c r="X156" s="138">
        <f t="shared" si="45"/>
        <v>-6.3005394153964334</v>
      </c>
      <c r="Y156" s="128" t="str">
        <f t="shared" si="46"/>
        <v>987.959938078801-109.08120720408i</v>
      </c>
      <c r="Z156" s="128" t="str">
        <f t="shared" si="47"/>
        <v>-40053353.6834043i</v>
      </c>
      <c r="AA156" s="128" t="str">
        <f t="shared" si="51"/>
        <v>64900-3306720.21846057i</v>
      </c>
      <c r="AB156" s="128" t="str">
        <f t="shared" si="52"/>
        <v>5900-6062320.40051104i</v>
      </c>
      <c r="AC156" s="128" t="str">
        <f t="shared" si="53"/>
        <v>58359.7793324883-3135742.21111503i</v>
      </c>
      <c r="AD156" s="128" t="str">
        <f t="shared" si="54"/>
        <v>109961.855464664-1995.20616682268i</v>
      </c>
      <c r="AE156" s="128" t="str">
        <f t="shared" si="55"/>
        <v>-6.81041234520554+26.3892186411579i</v>
      </c>
      <c r="AF156" s="130"/>
      <c r="AG156" s="130"/>
      <c r="AH156" s="130"/>
      <c r="AI156" s="130"/>
      <c r="AJ156" s="130"/>
      <c r="AK156" s="130"/>
      <c r="AL156" s="130"/>
      <c r="AM156" s="130"/>
      <c r="AN156" s="130"/>
      <c r="AO156" s="130"/>
      <c r="AP156" s="130"/>
      <c r="AQ156" s="130"/>
      <c r="AR156" s="130"/>
      <c r="AS156" s="130"/>
    </row>
    <row r="157" spans="1:45" s="166" customFormat="1" x14ac:dyDescent="0.2">
      <c r="A157" s="132">
        <f t="shared" si="48"/>
        <v>39.850999999999999</v>
      </c>
      <c r="B157" s="132">
        <f t="shared" si="49"/>
        <v>2.5400000000000014</v>
      </c>
      <c r="C157" s="138">
        <f t="shared" si="28"/>
        <v>346.73685045253279</v>
      </c>
      <c r="D157" s="137">
        <f t="shared" si="29"/>
        <v>39.851058072717059</v>
      </c>
      <c r="E157" s="132">
        <f t="shared" si="30"/>
        <v>100.56536854390004</v>
      </c>
      <c r="G157" s="138"/>
      <c r="H157" s="184" t="str">
        <f t="shared" si="31"/>
        <v>0.5-2.08639940797885i</v>
      </c>
      <c r="I157" s="132" t="str">
        <f t="shared" si="32"/>
        <v>0.01-10.4319970398942i</v>
      </c>
      <c r="J157" s="132" t="str">
        <f t="shared" si="33"/>
        <v>0.346940437316923-1.75240112920623i</v>
      </c>
      <c r="K157" s="132"/>
      <c r="L157" s="132" t="str">
        <f t="shared" si="34"/>
        <v>0.836324853413931-0.550472700451345i</v>
      </c>
      <c r="M157" s="132" t="str">
        <f t="shared" si="35"/>
        <v>0.009+0.00718941921792956i</v>
      </c>
      <c r="N157" s="132" t="str">
        <f t="shared" si="36"/>
        <v>0.996333644271843-0.0108612552334318i</v>
      </c>
      <c r="O157" s="185">
        <f t="shared" si="37"/>
        <v>-3.1388012485675479E-2</v>
      </c>
      <c r="P157" s="185">
        <f t="shared" si="38"/>
        <v>-0.62456932933887543</v>
      </c>
      <c r="Q157" s="132">
        <f t="shared" si="39"/>
        <v>2178.6118842210794</v>
      </c>
      <c r="R157" s="132">
        <f t="shared" si="50"/>
        <v>2.5400000000000014</v>
      </c>
      <c r="S157" s="164">
        <f t="shared" si="40"/>
        <v>15.015565726891342</v>
      </c>
      <c r="T157" s="132" t="str">
        <f t="shared" si="41"/>
        <v>1+0.0303001340857468i</v>
      </c>
      <c r="U157" s="138">
        <f t="shared" si="42"/>
        <v>24.835492345825717</v>
      </c>
      <c r="V157" s="132">
        <f t="shared" si="43"/>
        <v>101.1899378732389</v>
      </c>
      <c r="W157" s="132">
        <f t="shared" si="44"/>
        <v>59.942368874829583</v>
      </c>
      <c r="X157" s="138">
        <f t="shared" si="45"/>
        <v>-6.5949193361091298</v>
      </c>
      <c r="Y157" s="128" t="str">
        <f t="shared" si="46"/>
        <v>986.813647340814-114.08955903918i</v>
      </c>
      <c r="Z157" s="128" t="str">
        <f t="shared" si="47"/>
        <v>-38250655.8129456i</v>
      </c>
      <c r="AA157" s="128" t="str">
        <f t="shared" si="51"/>
        <v>64900-3157893.29267703i</v>
      </c>
      <c r="AB157" s="128" t="str">
        <f t="shared" si="52"/>
        <v>5900-5789471.03657456i</v>
      </c>
      <c r="AC157" s="128" t="str">
        <f t="shared" si="53"/>
        <v>58359.7735298789-2994616.02190895i</v>
      </c>
      <c r="AD157" s="128" t="str">
        <f t="shared" si="54"/>
        <v>109958.176822971-2089.16369343107i</v>
      </c>
      <c r="AE157" s="128" t="str">
        <f t="shared" si="55"/>
        <v>-6.32172504870829+25.3032866218044i</v>
      </c>
      <c r="AF157" s="130"/>
      <c r="AG157" s="130"/>
      <c r="AH157" s="130"/>
      <c r="AI157" s="130"/>
      <c r="AJ157" s="130"/>
      <c r="AK157" s="130"/>
      <c r="AL157" s="130"/>
      <c r="AM157" s="130"/>
      <c r="AN157" s="130"/>
      <c r="AO157" s="130"/>
      <c r="AP157" s="130"/>
      <c r="AQ157" s="130"/>
      <c r="AR157" s="130"/>
      <c r="AS157" s="130"/>
    </row>
    <row r="158" spans="1:45" s="166" customFormat="1" x14ac:dyDescent="0.2">
      <c r="A158" s="132">
        <f t="shared" si="48"/>
        <v>39.460999999999999</v>
      </c>
      <c r="B158" s="132">
        <f t="shared" si="49"/>
        <v>2.5600000000000018</v>
      </c>
      <c r="C158" s="138">
        <f t="shared" si="28"/>
        <v>363.07805477010277</v>
      </c>
      <c r="D158" s="137">
        <f t="shared" si="29"/>
        <v>39.4613655208965</v>
      </c>
      <c r="E158" s="132">
        <f t="shared" si="30"/>
        <v>100.33720830677714</v>
      </c>
      <c r="G158" s="138"/>
      <c r="H158" s="184" t="str">
        <f t="shared" si="31"/>
        <v>0.5-1.99249596609931i</v>
      </c>
      <c r="I158" s="132" t="str">
        <f t="shared" si="32"/>
        <v>0.01-9.96247983049653i</v>
      </c>
      <c r="J158" s="132" t="str">
        <f t="shared" si="33"/>
        <v>0.346886549787515-1.67479327065665i</v>
      </c>
      <c r="K158" s="132"/>
      <c r="L158" s="132" t="str">
        <f t="shared" si="34"/>
        <v>0.811391896116383-0.55031593755196i</v>
      </c>
      <c r="M158" s="132" t="str">
        <f t="shared" si="35"/>
        <v>0.009+0.00752824610699982i</v>
      </c>
      <c r="N158" s="132" t="str">
        <f t="shared" si="36"/>
        <v>0.996592518891042-0.0114308600025994i</v>
      </c>
      <c r="O158" s="185">
        <f t="shared" si="37"/>
        <v>-2.9076226785209568E-2</v>
      </c>
      <c r="P158" s="185">
        <f t="shared" si="38"/>
        <v>-0.65715054346560631</v>
      </c>
      <c r="Q158" s="132">
        <f t="shared" si="39"/>
        <v>2281.2866990908547</v>
      </c>
      <c r="R158" s="132">
        <f t="shared" si="50"/>
        <v>2.5600000000000014</v>
      </c>
      <c r="S158" s="164">
        <f t="shared" si="40"/>
        <v>15.017877512591809</v>
      </c>
      <c r="T158" s="132" t="str">
        <f t="shared" si="41"/>
        <v>1+0.0317281354109556i</v>
      </c>
      <c r="U158" s="138">
        <f t="shared" si="42"/>
        <v>24.443488008304691</v>
      </c>
      <c r="V158" s="132">
        <f t="shared" si="43"/>
        <v>100.99435885024275</v>
      </c>
      <c r="W158" s="132">
        <f t="shared" si="44"/>
        <v>59.936848966317498</v>
      </c>
      <c r="X158" s="138">
        <f t="shared" si="45"/>
        <v>-6.9027986507684513</v>
      </c>
      <c r="Y158" s="128" t="str">
        <f t="shared" si="46"/>
        <v>985.559817047364-119.314688216474i</v>
      </c>
      <c r="Z158" s="128" t="str">
        <f t="shared" si="47"/>
        <v>-36529092.7118207i</v>
      </c>
      <c r="AA158" s="128" t="str">
        <f t="shared" si="51"/>
        <v>64900-3015764.68195338i</v>
      </c>
      <c r="AB158" s="128" t="str">
        <f t="shared" si="52"/>
        <v>5900-5528901.91691455i</v>
      </c>
      <c r="AC158" s="128" t="str">
        <f t="shared" si="53"/>
        <v>58359.7671674454-2859841.81477929i</v>
      </c>
      <c r="AD158" s="128" t="str">
        <f t="shared" si="54"/>
        <v>109954.143570623-2187.5383976037i</v>
      </c>
      <c r="AE158" s="128" t="str">
        <f t="shared" si="55"/>
        <v>-5.87255907143467+24.2536637781073i</v>
      </c>
      <c r="AF158" s="130"/>
      <c r="AG158" s="130"/>
      <c r="AH158" s="130"/>
      <c r="AI158" s="130"/>
      <c r="AJ158" s="130"/>
      <c r="AK158" s="130"/>
      <c r="AL158" s="130"/>
      <c r="AM158" s="130"/>
      <c r="AN158" s="130"/>
      <c r="AO158" s="130"/>
      <c r="AP158" s="130"/>
      <c r="AQ158" s="130"/>
      <c r="AR158" s="130"/>
      <c r="AS158" s="130"/>
    </row>
    <row r="159" spans="1:45" s="166" customFormat="1" x14ac:dyDescent="0.2">
      <c r="A159" s="132">
        <f t="shared" si="48"/>
        <v>39.070999999999998</v>
      </c>
      <c r="B159" s="132">
        <f t="shared" si="49"/>
        <v>2.5800000000000018</v>
      </c>
      <c r="C159" s="138">
        <f t="shared" si="28"/>
        <v>380.18939632056265</v>
      </c>
      <c r="D159" s="137">
        <f t="shared" si="29"/>
        <v>39.071326469395842</v>
      </c>
      <c r="E159" s="132">
        <f t="shared" si="30"/>
        <v>100.12965272201431</v>
      </c>
      <c r="G159" s="138"/>
      <c r="H159" s="184" t="str">
        <f t="shared" si="31"/>
        <v>0.5-1.90281887530246i</v>
      </c>
      <c r="I159" s="132" t="str">
        <f t="shared" si="32"/>
        <v>0.01-9.51409437651229i</v>
      </c>
      <c r="J159" s="132" t="str">
        <f t="shared" si="33"/>
        <v>0.346827483082817-1.60073743001454i</v>
      </c>
      <c r="K159" s="132"/>
      <c r="L159" s="132" t="str">
        <f t="shared" si="34"/>
        <v>0.786563248036158-0.549039182297866i</v>
      </c>
      <c r="M159" s="132" t="str">
        <f t="shared" si="35"/>
        <v>0.009+0.00788304141539256i</v>
      </c>
      <c r="N159" s="132" t="str">
        <f t="shared" si="36"/>
        <v>0.996873834426546-0.0120352280431734i</v>
      </c>
      <c r="O159" s="185">
        <f t="shared" si="37"/>
        <v>-2.6563094261781113E-2</v>
      </c>
      <c r="P159" s="185">
        <f t="shared" si="38"/>
        <v>-0.69169663045453034</v>
      </c>
      <c r="Q159" s="132">
        <f t="shared" si="39"/>
        <v>2388.8004289068358</v>
      </c>
      <c r="R159" s="132">
        <f t="shared" si="50"/>
        <v>2.5800000000000014</v>
      </c>
      <c r="S159" s="164">
        <f t="shared" si="40"/>
        <v>15.020390645115235</v>
      </c>
      <c r="T159" s="132" t="str">
        <f t="shared" si="41"/>
        <v>1+0.0332234363652363i</v>
      </c>
      <c r="U159" s="138">
        <f t="shared" si="42"/>
        <v>24.050935824280607</v>
      </c>
      <c r="V159" s="132">
        <f t="shared" si="43"/>
        <v>100.82134935246884</v>
      </c>
      <c r="W159" s="132">
        <f t="shared" si="44"/>
        <v>59.930804559896522</v>
      </c>
      <c r="X159" s="138">
        <f t="shared" si="45"/>
        <v>-7.2247592053364773</v>
      </c>
      <c r="Y159" s="128" t="str">
        <f t="shared" si="46"/>
        <v>984.188675385116-124.764051726311i</v>
      </c>
      <c r="Z159" s="128" t="str">
        <f t="shared" si="47"/>
        <v>-34885012.7138785i</v>
      </c>
      <c r="AA159" s="128" t="str">
        <f t="shared" si="51"/>
        <v>64900-2880032.91245078i</v>
      </c>
      <c r="AB159" s="128" t="str">
        <f t="shared" si="52"/>
        <v>5900-5280060.33949308i</v>
      </c>
      <c r="AC159" s="128" t="str">
        <f t="shared" si="53"/>
        <v>58359.7601911775-2731133.71556311i</v>
      </c>
      <c r="AD159" s="128" t="str">
        <f t="shared" si="54"/>
        <v>109949.721555672-2290.53684061942i</v>
      </c>
      <c r="AE159" s="128" t="str">
        <f t="shared" si="55"/>
        <v>-5.45998965875415+23.2401941808951i</v>
      </c>
      <c r="AF159" s="130"/>
      <c r="AG159" s="130"/>
      <c r="AH159" s="130"/>
      <c r="AI159" s="130"/>
      <c r="AJ159" s="130"/>
      <c r="AK159" s="130"/>
      <c r="AL159" s="130"/>
      <c r="AM159" s="130"/>
      <c r="AN159" s="130"/>
      <c r="AO159" s="130"/>
      <c r="AP159" s="130"/>
      <c r="AQ159" s="130"/>
      <c r="AR159" s="130"/>
      <c r="AS159" s="130"/>
    </row>
    <row r="160" spans="1:45" s="166" customFormat="1" x14ac:dyDescent="0.2">
      <c r="A160" s="132">
        <f t="shared" si="48"/>
        <v>38.680999999999997</v>
      </c>
      <c r="B160" s="132">
        <f t="shared" si="49"/>
        <v>2.6000000000000014</v>
      </c>
      <c r="C160" s="138">
        <f t="shared" si="28"/>
        <v>398.10717055349869</v>
      </c>
      <c r="D160" s="137">
        <f t="shared" si="29"/>
        <v>38.68101684359047</v>
      </c>
      <c r="E160" s="132">
        <f t="shared" si="30"/>
        <v>99.94227655698819</v>
      </c>
      <c r="G160" s="138"/>
      <c r="H160" s="184" t="str">
        <f t="shared" si="31"/>
        <v>0.5-1.8171779184555i</v>
      </c>
      <c r="I160" s="132" t="str">
        <f t="shared" si="32"/>
        <v>0.01-9.08588959227746i</v>
      </c>
      <c r="J160" s="132" t="str">
        <f t="shared" si="33"/>
        <v>0.346762741516891-1.53007645952504i</v>
      </c>
      <c r="K160" s="132"/>
      <c r="L160" s="132" t="str">
        <f t="shared" si="34"/>
        <v>0.761942083540241-0.546661605504885i</v>
      </c>
      <c r="M160" s="132" t="str">
        <f t="shared" si="35"/>
        <v>0.009+0.00825455771152512i</v>
      </c>
      <c r="N160" s="132" t="str">
        <f t="shared" si="36"/>
        <v>0.997179290617686-0.0126770191061043i</v>
      </c>
      <c r="O160" s="185">
        <f t="shared" si="37"/>
        <v>-2.3833151515921788E-2</v>
      </c>
      <c r="P160" s="185">
        <f t="shared" si="38"/>
        <v>-0.7283550436042644</v>
      </c>
      <c r="Q160" s="132">
        <f t="shared" si="39"/>
        <v>2501.3811247045805</v>
      </c>
      <c r="R160" s="132">
        <f t="shared" si="50"/>
        <v>2.6000000000000014</v>
      </c>
      <c r="S160" s="164">
        <f t="shared" si="40"/>
        <v>15.023120587861094</v>
      </c>
      <c r="T160" s="132" t="str">
        <f t="shared" si="41"/>
        <v>1+0.0347892086823913i</v>
      </c>
      <c r="U160" s="138">
        <f t="shared" si="42"/>
        <v>23.657896255729376</v>
      </c>
      <c r="V160" s="132">
        <f t="shared" si="43"/>
        <v>100.67063160059246</v>
      </c>
      <c r="W160" s="132">
        <f t="shared" si="44"/>
        <v>59.924186654785956</v>
      </c>
      <c r="X160" s="138">
        <f t="shared" si="45"/>
        <v>-7.5614024912383266</v>
      </c>
      <c r="Y160" s="128" t="str">
        <f t="shared" si="46"/>
        <v>982.689625463373-130.445072825493i</v>
      </c>
      <c r="Z160" s="128" t="str">
        <f t="shared" si="47"/>
        <v>-33314928.5050175i</v>
      </c>
      <c r="AA160" s="128" t="str">
        <f t="shared" si="51"/>
        <v>64900-2750410.07888822i</v>
      </c>
      <c r="AB160" s="128" t="str">
        <f t="shared" si="52"/>
        <v>5900-5042418.47796172i</v>
      </c>
      <c r="AC160" s="128" t="str">
        <f t="shared" si="53"/>
        <v>58359.7525418539-2608218.71712553i</v>
      </c>
      <c r="AD160" s="128" t="str">
        <f t="shared" si="54"/>
        <v>109944.873343419-2398.37508000542i</v>
      </c>
      <c r="AE160" s="128" t="str">
        <f t="shared" si="55"/>
        <v>-5.08126392332702+22.2625644298949i</v>
      </c>
      <c r="AF160" s="130"/>
      <c r="AG160" s="130"/>
      <c r="AH160" s="130"/>
      <c r="AI160" s="130"/>
      <c r="AJ160" s="130"/>
      <c r="AK160" s="130"/>
      <c r="AL160" s="130"/>
      <c r="AM160" s="130"/>
      <c r="AN160" s="130"/>
      <c r="AO160" s="130"/>
      <c r="AP160" s="130"/>
      <c r="AQ160" s="130"/>
      <c r="AR160" s="130"/>
      <c r="AS160" s="130"/>
    </row>
    <row r="161" spans="1:45" s="166" customFormat="1" x14ac:dyDescent="0.2">
      <c r="A161" s="132">
        <f t="shared" si="48"/>
        <v>38.290999999999997</v>
      </c>
      <c r="B161" s="132">
        <f t="shared" si="49"/>
        <v>2.6200000000000019</v>
      </c>
      <c r="C161" s="138">
        <f t="shared" si="28"/>
        <v>416.8693834703372</v>
      </c>
      <c r="D161" s="137">
        <f t="shared" si="29"/>
        <v>38.290509691537622</v>
      </c>
      <c r="E161" s="132">
        <f t="shared" si="30"/>
        <v>99.774676751899818</v>
      </c>
      <c r="G161" s="138"/>
      <c r="H161" s="184" t="str">
        <f t="shared" si="31"/>
        <v>0.5-1.73539143960687i</v>
      </c>
      <c r="I161" s="132" t="str">
        <f t="shared" si="32"/>
        <v>0.01-8.67695719803431i</v>
      </c>
      <c r="J161" s="132" t="str">
        <f t="shared" si="33"/>
        <v>0.346691782384287-1.46266040278979i</v>
      </c>
      <c r="K161" s="132"/>
      <c r="L161" s="132" t="str">
        <f t="shared" si="34"/>
        <v>0.737628040924389-0.543213911487691i</v>
      </c>
      <c r="M161" s="132" t="str">
        <f t="shared" si="35"/>
        <v>0.009+0.00864358303127166i</v>
      </c>
      <c r="N161" s="132" t="str">
        <f t="shared" si="36"/>
        <v>0.997510670800898-0.0133591346857572i</v>
      </c>
      <c r="O161" s="185">
        <f t="shared" si="37"/>
        <v>-2.0870122136118309E-2</v>
      </c>
      <c r="P161" s="185">
        <f t="shared" si="38"/>
        <v>-0.76728630696620959</v>
      </c>
      <c r="Q161" s="132">
        <f t="shared" si="39"/>
        <v>2619.2675852338352</v>
      </c>
      <c r="R161" s="132">
        <f t="shared" si="50"/>
        <v>2.6200000000000014</v>
      </c>
      <c r="S161" s="164">
        <f t="shared" si="40"/>
        <v>15.0260836172409</v>
      </c>
      <c r="T161" s="132" t="str">
        <f t="shared" si="41"/>
        <v>1+0.0364287735754322i</v>
      </c>
      <c r="U161" s="138">
        <f t="shared" si="42"/>
        <v>23.264426074296722</v>
      </c>
      <c r="V161" s="132">
        <f t="shared" si="43"/>
        <v>100.54196305886603</v>
      </c>
      <c r="W161" s="132">
        <f t="shared" si="44"/>
        <v>59.916941838259305</v>
      </c>
      <c r="X161" s="138">
        <f t="shared" si="45"/>
        <v>-7.9133494890104039</v>
      </c>
      <c r="Y161" s="128" t="str">
        <f t="shared" si="46"/>
        <v>981.051188172211-136.365088260338i</v>
      </c>
      <c r="Z161" s="128" t="str">
        <f t="shared" si="47"/>
        <v>-31815509.7261259i</v>
      </c>
      <c r="AA161" s="128" t="str">
        <f t="shared" si="51"/>
        <v>64900-2626621.23385688i</v>
      </c>
      <c r="AB161" s="128" t="str">
        <f t="shared" si="52"/>
        <v>5900-4815472.26207096i</v>
      </c>
      <c r="AC161" s="128" t="str">
        <f t="shared" si="53"/>
        <v>58359.7441545394-2490836.10027514i</v>
      </c>
      <c r="AD161" s="128" t="str">
        <f t="shared" si="54"/>
        <v>109939.557902165-2511.27908182784i</v>
      </c>
      <c r="AE161" s="128" t="str">
        <f t="shared" si="55"/>
        <v>-4.73379840023332+21.3203269258456i</v>
      </c>
      <c r="AF161" s="130"/>
      <c r="AG161" s="130"/>
      <c r="AH161" s="130"/>
      <c r="AI161" s="130"/>
      <c r="AJ161" s="130"/>
      <c r="AK161" s="130"/>
      <c r="AL161" s="130"/>
      <c r="AM161" s="130"/>
      <c r="AN161" s="130"/>
      <c r="AO161" s="130"/>
      <c r="AP161" s="130"/>
      <c r="AQ161" s="130"/>
      <c r="AR161" s="130"/>
      <c r="AS161" s="130"/>
    </row>
    <row r="162" spans="1:45" s="166" customFormat="1" x14ac:dyDescent="0.2">
      <c r="A162" s="132">
        <f t="shared" si="48"/>
        <v>37.9</v>
      </c>
      <c r="B162" s="132">
        <f t="shared" si="49"/>
        <v>2.6400000000000019</v>
      </c>
      <c r="C162" s="138">
        <f t="shared" si="28"/>
        <v>436.51583224016775</v>
      </c>
      <c r="D162" s="137">
        <f t="shared" si="29"/>
        <v>37.899875566019915</v>
      </c>
      <c r="E162" s="132">
        <f t="shared" si="30"/>
        <v>99.626472164941632</v>
      </c>
      <c r="G162" s="138"/>
      <c r="H162" s="184" t="str">
        <f t="shared" si="31"/>
        <v>0.5-1.65728595866962i</v>
      </c>
      <c r="I162" s="132" t="str">
        <f t="shared" si="32"/>
        <v>0.01-8.28642979334815i</v>
      </c>
      <c r="J162" s="132" t="str">
        <f t="shared" si="33"/>
        <v>0.346614011584909-1.39834617528204i</v>
      </c>
      <c r="K162" s="132"/>
      <c r="L162" s="132" t="str">
        <f t="shared" si="34"/>
        <v>0.713715635787607-0.538737593397887i</v>
      </c>
      <c r="M162" s="132" t="str">
        <f t="shared" si="35"/>
        <v>0.009+0.00905094254949288i</v>
      </c>
      <c r="N162" s="132" t="str">
        <f t="shared" si="36"/>
        <v>0.997869837535496-0.0140847390965687i</v>
      </c>
      <c r="O162" s="185">
        <f t="shared" si="37"/>
        <v>-1.7656941689415645E-2</v>
      </c>
      <c r="P162" s="185">
        <f t="shared" si="38"/>
        <v>-0.80866510823635429</v>
      </c>
      <c r="Q162" s="132">
        <f t="shared" si="39"/>
        <v>2742.7098634826912</v>
      </c>
      <c r="R162" s="132">
        <f t="shared" si="50"/>
        <v>2.6400000000000015</v>
      </c>
      <c r="S162" s="164">
        <f t="shared" si="40"/>
        <v>15.029296797687602</v>
      </c>
      <c r="T162" s="132" t="str">
        <f t="shared" si="41"/>
        <v>1+0.0381456087813173i</v>
      </c>
      <c r="U162" s="138">
        <f t="shared" si="42"/>
        <v>22.870578768332315</v>
      </c>
      <c r="V162" s="132">
        <f t="shared" si="43"/>
        <v>100.43513727317799</v>
      </c>
      <c r="W162" s="132">
        <f t="shared" si="44"/>
        <v>59.909011921198925</v>
      </c>
      <c r="X162" s="138">
        <f t="shared" si="45"/>
        <v>-8.2812403615708607</v>
      </c>
      <c r="Y162" s="128" t="str">
        <f t="shared" si="46"/>
        <v>979.260943661246-142.531286850668i</v>
      </c>
      <c r="Z162" s="128" t="str">
        <f t="shared" si="47"/>
        <v>-30383575.9089431i</v>
      </c>
      <c r="AA162" s="128" t="str">
        <f t="shared" si="51"/>
        <v>64900-2508403.80461979i</v>
      </c>
      <c r="AB162" s="128" t="str">
        <f t="shared" si="52"/>
        <v>5900-4598740.30846964i</v>
      </c>
      <c r="AC162" s="128" t="str">
        <f t="shared" si="53"/>
        <v>58359.734958035-2378736.88074357i</v>
      </c>
      <c r="AD162" s="128" t="str">
        <f t="shared" si="54"/>
        <v>109933.730259132-2629.48514721794i</v>
      </c>
      <c r="AE162" s="128" t="str">
        <f t="shared" si="55"/>
        <v>-4.41517506500891+20.4129209275611i</v>
      </c>
      <c r="AF162" s="130"/>
      <c r="AG162" s="130"/>
      <c r="AH162" s="130"/>
      <c r="AI162" s="130"/>
      <c r="AJ162" s="130"/>
      <c r="AK162" s="130"/>
      <c r="AL162" s="130"/>
      <c r="AM162" s="130"/>
      <c r="AN162" s="130"/>
      <c r="AO162" s="130"/>
      <c r="AP162" s="130"/>
      <c r="AQ162" s="130"/>
      <c r="AR162" s="130"/>
      <c r="AS162" s="130"/>
    </row>
    <row r="163" spans="1:45" s="166" customFormat="1" x14ac:dyDescent="0.2">
      <c r="A163" s="132">
        <f t="shared" si="48"/>
        <v>37.509</v>
      </c>
      <c r="B163" s="132">
        <f t="shared" si="49"/>
        <v>2.6600000000000015</v>
      </c>
      <c r="C163" s="138">
        <f t="shared" si="28"/>
        <v>457.0881896148768</v>
      </c>
      <c r="D163" s="137">
        <f t="shared" si="29"/>
        <v>37.509182875919777</v>
      </c>
      <c r="E163" s="132">
        <f t="shared" si="30"/>
        <v>99.49730317477848</v>
      </c>
      <c r="G163" s="138"/>
      <c r="H163" s="184" t="str">
        <f t="shared" si="31"/>
        <v>0.5-1.58269580344692i</v>
      </c>
      <c r="I163" s="132" t="str">
        <f t="shared" si="32"/>
        <v>0.01-7.91347901723462i</v>
      </c>
      <c r="J163" s="132" t="str">
        <f t="shared" si="33"/>
        <v>0.346528778858995-1.33699725923426i</v>
      </c>
      <c r="K163" s="132"/>
      <c r="L163" s="132" t="str">
        <f t="shared" si="34"/>
        <v>0.690292849163385-0.533283941345596i</v>
      </c>
      <c r="M163" s="132" t="str">
        <f t="shared" si="35"/>
        <v>0.009+0.00947750033034258i</v>
      </c>
      <c r="N163" s="132" t="str">
        <f t="shared" si="36"/>
        <v>0.998258726292475-0.0148572815042291i</v>
      </c>
      <c r="O163" s="185">
        <f t="shared" si="37"/>
        <v>-1.4175797252609151E-2</v>
      </c>
      <c r="P163" s="185">
        <f t="shared" si="38"/>
        <v>-0.85268143129881213</v>
      </c>
      <c r="Q163" s="132">
        <f t="shared" si="39"/>
        <v>2871.9697970735106</v>
      </c>
      <c r="R163" s="132">
        <f t="shared" si="50"/>
        <v>2.6600000000000015</v>
      </c>
      <c r="S163" s="164">
        <f t="shared" si="40"/>
        <v>15.032777942124408</v>
      </c>
      <c r="T163" s="132" t="str">
        <f t="shared" si="41"/>
        <v>1+0.0399433559376984i</v>
      </c>
      <c r="U163" s="138">
        <f t="shared" si="42"/>
        <v>22.476404933795365</v>
      </c>
      <c r="V163" s="132">
        <f t="shared" si="43"/>
        <v>100.34998460607729</v>
      </c>
      <c r="W163" s="132">
        <f t="shared" si="44"/>
        <v>59.900333550067472</v>
      </c>
      <c r="X163" s="138">
        <f t="shared" si="45"/>
        <v>-8.6657339730442704</v>
      </c>
      <c r="Y163" s="128" t="str">
        <f t="shared" si="46"/>
        <v>977.30547201969-148.950638454264i</v>
      </c>
      <c r="Z163" s="128" t="str">
        <f t="shared" si="47"/>
        <v>-29016089.7298602i</v>
      </c>
      <c r="AA163" s="128" t="str">
        <f t="shared" si="51"/>
        <v>64900-2395507.03615987i</v>
      </c>
      <c r="AB163" s="128" t="str">
        <f t="shared" si="52"/>
        <v>5900-4391762.89962642i</v>
      </c>
      <c r="AC163" s="128" t="str">
        <f t="shared" si="53"/>
        <v>58359.7248742715-2271683.28105652i</v>
      </c>
      <c r="AD163" s="128" t="str">
        <f t="shared" si="54"/>
        <v>109927.341123779-2753.2403530424i</v>
      </c>
      <c r="AE163" s="128" t="str">
        <f t="shared" si="55"/>
        <v>-4.12313616174286+19.5396914835089i</v>
      </c>
      <c r="AF163" s="130"/>
      <c r="AG163" s="130"/>
      <c r="AH163" s="130"/>
      <c r="AI163" s="130"/>
      <c r="AJ163" s="130"/>
      <c r="AK163" s="130"/>
      <c r="AL163" s="130"/>
      <c r="AM163" s="130"/>
      <c r="AN163" s="130"/>
      <c r="AO163" s="130"/>
      <c r="AP163" s="130"/>
      <c r="AQ163" s="130"/>
      <c r="AR163" s="130"/>
      <c r="AS163" s="130"/>
    </row>
    <row r="164" spans="1:45" s="166" customFormat="1" x14ac:dyDescent="0.2">
      <c r="A164" s="132">
        <f t="shared" si="48"/>
        <v>37.118000000000002</v>
      </c>
      <c r="B164" s="132">
        <f t="shared" si="49"/>
        <v>2.6800000000000015</v>
      </c>
      <c r="C164" s="138">
        <f t="shared" si="28"/>
        <v>478.63009232264011</v>
      </c>
      <c r="D164" s="137">
        <f t="shared" si="29"/>
        <v>37.118498206512385</v>
      </c>
      <c r="E164" s="132">
        <f t="shared" si="30"/>
        <v>99.38683117197175</v>
      </c>
      <c r="G164" s="138"/>
      <c r="H164" s="184" t="str">
        <f t="shared" si="31"/>
        <v>0.5-1.51146275821905i</v>
      </c>
      <c r="I164" s="132" t="str">
        <f t="shared" si="32"/>
        <v>0.01-7.55731379109526i</v>
      </c>
      <c r="J164" s="132" t="str">
        <f t="shared" si="33"/>
        <v>0.34643537260099-1.27848341222156i</v>
      </c>
      <c r="K164" s="132"/>
      <c r="L164" s="132" t="str">
        <f t="shared" si="34"/>
        <v>0.66743993201226-0.52691284775722i</v>
      </c>
      <c r="M164" s="132" t="str">
        <f t="shared" si="35"/>
        <v>0.009+0.00992416116006355i</v>
      </c>
      <c r="N164" s="132" t="str">
        <f t="shared" si="36"/>
        <v>0.998679336951014-0.0156805187175204i</v>
      </c>
      <c r="O164" s="185">
        <f t="shared" si="37"/>
        <v>-1.040818328438717E-2</v>
      </c>
      <c r="P164" s="185">
        <f t="shared" si="38"/>
        <v>-0.89954171591222498</v>
      </c>
      <c r="Q164" s="132">
        <f t="shared" si="39"/>
        <v>3007.321563655621</v>
      </c>
      <c r="R164" s="132">
        <f t="shared" si="50"/>
        <v>2.6800000000000015</v>
      </c>
      <c r="S164" s="164">
        <f t="shared" si="40"/>
        <v>15.036545556092628</v>
      </c>
      <c r="T164" s="132" t="str">
        <f t="shared" si="41"/>
        <v>1+0.0418258283073224i</v>
      </c>
      <c r="U164" s="138">
        <f t="shared" si="42"/>
        <v>22.081952650419755</v>
      </c>
      <c r="V164" s="132">
        <f t="shared" si="43"/>
        <v>100.28637288788397</v>
      </c>
      <c r="W164" s="132">
        <f t="shared" si="44"/>
        <v>59.89083779512012</v>
      </c>
      <c r="X164" s="138">
        <f t="shared" si="45"/>
        <v>-9.0675072064140565</v>
      </c>
      <c r="Y164" s="128" t="str">
        <f t="shared" si="46"/>
        <v>975.170293903165-155.629812276179i</v>
      </c>
      <c r="Z164" s="128" t="str">
        <f t="shared" si="47"/>
        <v>-27710150.5673493i</v>
      </c>
      <c r="AA164" s="128" t="str">
        <f t="shared" si="51"/>
        <v>64900-2287691.45929486i</v>
      </c>
      <c r="AB164" s="128" t="str">
        <f t="shared" si="52"/>
        <v>5900-4194101.00870724i</v>
      </c>
      <c r="AC164" s="128" t="str">
        <f t="shared" si="53"/>
        <v>58359.7138176488-2169448.22617572i</v>
      </c>
      <c r="AD164" s="128" t="str">
        <f t="shared" si="54"/>
        <v>109920.336475502-2882.80300651067i</v>
      </c>
      <c r="AE164" s="128" t="str">
        <f t="shared" si="55"/>
        <v>-3.85557813962834+18.6999063505987i</v>
      </c>
      <c r="AF164" s="130"/>
      <c r="AG164" s="130"/>
      <c r="AH164" s="130"/>
      <c r="AI164" s="130"/>
      <c r="AJ164" s="130"/>
      <c r="AK164" s="130"/>
      <c r="AL164" s="130"/>
      <c r="AM164" s="130"/>
      <c r="AN164" s="130"/>
      <c r="AO164" s="130"/>
      <c r="AP164" s="130"/>
      <c r="AQ164" s="130"/>
      <c r="AR164" s="130"/>
      <c r="AS164" s="130"/>
    </row>
    <row r="165" spans="1:45" s="166" customFormat="1" x14ac:dyDescent="0.2">
      <c r="A165" s="132">
        <f t="shared" si="48"/>
        <v>36.728000000000002</v>
      </c>
      <c r="B165" s="132">
        <f t="shared" si="49"/>
        <v>2.700000000000002</v>
      </c>
      <c r="C165" s="138">
        <f t="shared" si="28"/>
        <v>501.18723362727451</v>
      </c>
      <c r="D165" s="137">
        <f t="shared" si="29"/>
        <v>36.727886608563175</v>
      </c>
      <c r="E165" s="132">
        <f t="shared" si="30"/>
        <v>99.294737972262737</v>
      </c>
      <c r="G165" s="138"/>
      <c r="H165" s="184" t="str">
        <f t="shared" si="31"/>
        <v>0.5-1.4434357281467i</v>
      </c>
      <c r="I165" s="132" t="str">
        <f t="shared" si="32"/>
        <v>0.01-7.21717864073352i</v>
      </c>
      <c r="J165" s="132" t="str">
        <f t="shared" si="33"/>
        <v>0.3463330142193-1.22268038879013i</v>
      </c>
      <c r="K165" s="132"/>
      <c r="L165" s="132" t="str">
        <f t="shared" si="34"/>
        <v>0.645228455622075-0.519691461345668i</v>
      </c>
      <c r="M165" s="132" t="str">
        <f t="shared" si="35"/>
        <v>0.009+0.0103918724661605i</v>
      </c>
      <c r="N165" s="132" t="str">
        <f t="shared" si="36"/>
        <v>0.999133722856171-0.0165585384834218i</v>
      </c>
      <c r="O165" s="185">
        <f t="shared" si="37"/>
        <v>-6.3349754969399099E-3</v>
      </c>
      <c r="P165" s="185">
        <f t="shared" si="38"/>
        <v>-0.94947002843628869</v>
      </c>
      <c r="Q165" s="132">
        <f t="shared" si="39"/>
        <v>3149.0522624728737</v>
      </c>
      <c r="R165" s="132">
        <f t="shared" si="50"/>
        <v>2.7000000000000015</v>
      </c>
      <c r="S165" s="164">
        <f t="shared" si="40"/>
        <v>15.040618763880076</v>
      </c>
      <c r="T165" s="132" t="str">
        <f t="shared" si="41"/>
        <v>1+0.0437970188664727i</v>
      </c>
      <c r="U165" s="138">
        <f t="shared" si="42"/>
        <v>21.687267844683099</v>
      </c>
      <c r="V165" s="132">
        <f t="shared" si="43"/>
        <v>100.24420800069903</v>
      </c>
      <c r="W165" s="132">
        <f t="shared" si="44"/>
        <v>59.880449715016596</v>
      </c>
      <c r="X165" s="138">
        <f t="shared" si="45"/>
        <v>-9.4872540504812228</v>
      </c>
      <c r="Y165" s="128" t="str">
        <f t="shared" si="46"/>
        <v>972.839812045481-162.575083443754i</v>
      </c>
      <c r="Z165" s="128" t="str">
        <f t="shared" si="47"/>
        <v>-26462988.3493562i</v>
      </c>
      <c r="AA165" s="128" t="str">
        <f t="shared" si="51"/>
        <v>64900-2184728.38273115i</v>
      </c>
      <c r="AB165" s="128" t="str">
        <f t="shared" si="52"/>
        <v>5900-4005335.36834043i</v>
      </c>
      <c r="AC165" s="128" t="str">
        <f t="shared" si="53"/>
        <v>58359.701694308-2071814.8618425i</v>
      </c>
      <c r="AD165" s="128" t="str">
        <f t="shared" si="54"/>
        <v>109912.657112409-3018.44311337593i</v>
      </c>
      <c r="AE165" s="128" t="str">
        <f t="shared" si="55"/>
        <v>-3.61054495147341+17.8927710279179i</v>
      </c>
      <c r="AF165" s="130"/>
      <c r="AG165" s="130"/>
      <c r="AH165" s="130"/>
      <c r="AI165" s="130"/>
      <c r="AJ165" s="130"/>
      <c r="AK165" s="130"/>
      <c r="AL165" s="130"/>
      <c r="AM165" s="130"/>
      <c r="AN165" s="130"/>
      <c r="AO165" s="130"/>
      <c r="AP165" s="130"/>
      <c r="AQ165" s="130"/>
      <c r="AR165" s="130"/>
      <c r="AS165" s="130"/>
    </row>
    <row r="166" spans="1:45" s="166" customFormat="1" x14ac:dyDescent="0.2">
      <c r="A166" s="132">
        <f t="shared" si="48"/>
        <v>36.337000000000003</v>
      </c>
      <c r="B166" s="132">
        <f t="shared" si="49"/>
        <v>2.720000000000002</v>
      </c>
      <c r="C166" s="138">
        <f t="shared" si="28"/>
        <v>524.80746024977486</v>
      </c>
      <c r="D166" s="137">
        <f t="shared" si="29"/>
        <v>36.337411856507622</v>
      </c>
      <c r="E166" s="132">
        <f t="shared" si="30"/>
        <v>99.22072518636719</v>
      </c>
      <c r="G166" s="138"/>
      <c r="H166" s="184" t="str">
        <f t="shared" si="31"/>
        <v>0.5-1.37847041877855i</v>
      </c>
      <c r="I166" s="132" t="str">
        <f t="shared" si="32"/>
        <v>0.01-6.89235209389277i</v>
      </c>
      <c r="J166" s="132" t="str">
        <f t="shared" si="33"/>
        <v>0.346220852007263-1.16946967450245i</v>
      </c>
      <c r="K166" s="132"/>
      <c r="L166" s="132" t="str">
        <f t="shared" si="34"/>
        <v>0.623720624481283-0.511692744567593i</v>
      </c>
      <c r="M166" s="132" t="str">
        <f t="shared" si="35"/>
        <v>0.009+0.0108816263270207i</v>
      </c>
      <c r="N166" s="132" t="str">
        <f t="shared" si="36"/>
        <v>0.999623977213667-0.017495782958243i</v>
      </c>
      <c r="O166" s="185">
        <f t="shared" si="37"/>
        <v>-1.9365241211337823E-3</v>
      </c>
      <c r="P166" s="185">
        <f t="shared" si="38"/>
        <v>-1.0027092236004775</v>
      </c>
      <c r="Q166" s="132">
        <f t="shared" si="39"/>
        <v>3297.46252333962</v>
      </c>
      <c r="R166" s="132">
        <f t="shared" si="50"/>
        <v>2.7200000000000015</v>
      </c>
      <c r="S166" s="164">
        <f t="shared" si="40"/>
        <v>15.045017215255882</v>
      </c>
      <c r="T166" s="132" t="str">
        <f t="shared" si="41"/>
        <v>1+0.0458611087746074i</v>
      </c>
      <c r="U166" s="138">
        <f t="shared" si="42"/>
        <v>21.29239464125174</v>
      </c>
      <c r="V166" s="132">
        <f t="shared" si="43"/>
        <v>100.22343440996767</v>
      </c>
      <c r="W166" s="132">
        <f t="shared" si="44"/>
        <v>59.869087898411479</v>
      </c>
      <c r="X166" s="138">
        <f t="shared" si="45"/>
        <v>-9.9256844237242259</v>
      </c>
      <c r="Y166" s="128" t="str">
        <f t="shared" si="46"/>
        <v>970.297254816929-169.792226741814i</v>
      </c>
      <c r="Z166" s="128" t="str">
        <f t="shared" si="47"/>
        <v>-25271957.6776068i</v>
      </c>
      <c r="AA166" s="128" t="str">
        <f t="shared" si="51"/>
        <v>64900-2086399.40797885i</v>
      </c>
      <c r="AB166" s="128" t="str">
        <f t="shared" si="52"/>
        <v>5900-3825065.58129455i</v>
      </c>
      <c r="AC166" s="128" t="str">
        <f t="shared" si="53"/>
        <v>58359.6884013348-1978576.09460071i</v>
      </c>
      <c r="AD166" s="128" t="str">
        <f t="shared" si="54"/>
        <v>109904.238157595-3160.44285922385i</v>
      </c>
      <c r="AE166" s="128" t="str">
        <f t="shared" si="55"/>
        <v>-3.38622092702841+17.1174420416512i</v>
      </c>
      <c r="AF166" s="130"/>
      <c r="AG166" s="130"/>
      <c r="AH166" s="130"/>
      <c r="AI166" s="130"/>
      <c r="AJ166" s="130"/>
      <c r="AK166" s="130"/>
      <c r="AL166" s="130"/>
      <c r="AM166" s="130"/>
      <c r="AN166" s="130"/>
      <c r="AO166" s="130"/>
      <c r="AP166" s="130"/>
      <c r="AQ166" s="130"/>
      <c r="AR166" s="130"/>
      <c r="AS166" s="130"/>
    </row>
    <row r="167" spans="1:45" s="166" customFormat="1" x14ac:dyDescent="0.2">
      <c r="A167" s="132">
        <f t="shared" si="48"/>
        <v>35.947000000000003</v>
      </c>
      <c r="B167" s="132">
        <f t="shared" si="49"/>
        <v>2.7400000000000015</v>
      </c>
      <c r="C167" s="138">
        <f t="shared" si="28"/>
        <v>549.54087385762671</v>
      </c>
      <c r="D167" s="137">
        <f t="shared" si="29"/>
        <v>35.947136676505806</v>
      </c>
      <c r="E167" s="132">
        <f t="shared" si="30"/>
        <v>99.164513582974379</v>
      </c>
      <c r="G167" s="138"/>
      <c r="H167" s="184" t="str">
        <f t="shared" si="31"/>
        <v>0.5-1.31642902998338i</v>
      </c>
      <c r="I167" s="132" t="str">
        <f t="shared" si="32"/>
        <v>0.01-6.58214514991692i</v>
      </c>
      <c r="J167" s="132" t="str">
        <f t="shared" si="33"/>
        <v>0.346097954489119-1.11873823179261i</v>
      </c>
      <c r="K167" s="132"/>
      <c r="L167" s="132" t="str">
        <f t="shared" si="34"/>
        <v>0.602968855285663-0.502993989537821i</v>
      </c>
      <c r="M167" s="132" t="str">
        <f t="shared" si="35"/>
        <v>0.009+0.0113944615762457i</v>
      </c>
      <c r="N167" s="132" t="str">
        <f t="shared" si="36"/>
        <v>1.00015221663678-0.0184970719534007i</v>
      </c>
      <c r="O167" s="185">
        <f t="shared" si="37"/>
        <v>2.8072324527234939E-3</v>
      </c>
      <c r="P167" s="185">
        <f t="shared" si="38"/>
        <v>-1.0595220732504087</v>
      </c>
      <c r="Q167" s="132">
        <f t="shared" si="39"/>
        <v>3452.8671443168705</v>
      </c>
      <c r="R167" s="132">
        <f t="shared" si="50"/>
        <v>2.7400000000000015</v>
      </c>
      <c r="S167" s="164">
        <f t="shared" si="40"/>
        <v>15.049760971829741</v>
      </c>
      <c r="T167" s="132" t="str">
        <f t="shared" si="41"/>
        <v>1+0.048022476243159i</v>
      </c>
      <c r="U167" s="138">
        <f t="shared" si="42"/>
        <v>20.897375704676069</v>
      </c>
      <c r="V167" s="132">
        <f t="shared" si="43"/>
        <v>100.22403565622479</v>
      </c>
      <c r="W167" s="132">
        <f t="shared" si="44"/>
        <v>59.856663983615292</v>
      </c>
      <c r="X167" s="138">
        <f t="shared" si="45"/>
        <v>-10.383522699727866</v>
      </c>
      <c r="Y167" s="128" t="str">
        <f t="shared" si="46"/>
        <v>967.524623246515-177.286396399774i</v>
      </c>
      <c r="Z167" s="128" t="str">
        <f t="shared" si="47"/>
        <v>-24134532.216362i</v>
      </c>
      <c r="AA167" s="128" t="str">
        <f t="shared" si="51"/>
        <v>64900-1992495.96609931i</v>
      </c>
      <c r="AB167" s="128" t="str">
        <f t="shared" si="52"/>
        <v>5900-3652909.27118207i</v>
      </c>
      <c r="AC167" s="128" t="str">
        <f t="shared" si="53"/>
        <v>58359.6738258864-1889534.15252374i</v>
      </c>
      <c r="AD167" s="128" t="str">
        <f t="shared" si="54"/>
        <v>109895.008519023-3309.0971031545i</v>
      </c>
      <c r="AE167" s="128" t="str">
        <f t="shared" si="55"/>
        <v>-3.18092339770518+16.3730386208294i</v>
      </c>
      <c r="AF167" s="130"/>
      <c r="AG167" s="130"/>
      <c r="AH167" s="130"/>
      <c r="AI167" s="130"/>
      <c r="AJ167" s="130"/>
      <c r="AK167" s="130"/>
      <c r="AL167" s="130"/>
      <c r="AM167" s="130"/>
      <c r="AN167" s="130"/>
      <c r="AO167" s="130"/>
      <c r="AP167" s="130"/>
      <c r="AQ167" s="130"/>
      <c r="AR167" s="130"/>
      <c r="AS167" s="130"/>
    </row>
    <row r="168" spans="1:45" s="166" customFormat="1" x14ac:dyDescent="0.2">
      <c r="A168" s="132">
        <f t="shared" si="48"/>
        <v>35.557000000000002</v>
      </c>
      <c r="B168" s="132">
        <f t="shared" si="49"/>
        <v>2.7600000000000016</v>
      </c>
      <c r="C168" s="138">
        <f t="shared" si="28"/>
        <v>575.43993733715911</v>
      </c>
      <c r="D168" s="137">
        <f t="shared" si="29"/>
        <v>35.557122945833342</v>
      </c>
      <c r="E168" s="132">
        <f t="shared" si="30"/>
        <v>99.125842483807645</v>
      </c>
      <c r="G168" s="138"/>
      <c r="H168" s="184" t="str">
        <f t="shared" si="31"/>
        <v>0.5-1.25717996365752i</v>
      </c>
      <c r="I168" s="132" t="str">
        <f t="shared" si="32"/>
        <v>0.01-6.2858998182876i</v>
      </c>
      <c r="J168" s="132" t="str">
        <f t="shared" si="33"/>
        <v>0.345963303203314-1.07037825704414i</v>
      </c>
      <c r="K168" s="132"/>
      <c r="L168" s="132" t="str">
        <f t="shared" si="34"/>
        <v>0.583015613805519-0.49367534437591i</v>
      </c>
      <c r="M168" s="132" t="str">
        <f t="shared" si="35"/>
        <v>0.009+0.0119314660061559i</v>
      </c>
      <c r="N168" s="132" t="str">
        <f t="shared" si="36"/>
        <v>1.0007205617197-0.0195676254790639i</v>
      </c>
      <c r="O168" s="185">
        <f t="shared" si="37"/>
        <v>7.9166332638890505E-3</v>
      </c>
      <c r="P168" s="185">
        <f t="shared" si="38"/>
        <v>-1.1201923339551665</v>
      </c>
      <c r="Q168" s="132">
        <f t="shared" si="39"/>
        <v>3615.5957594411798</v>
      </c>
      <c r="R168" s="132">
        <f t="shared" si="50"/>
        <v>2.7600000000000016</v>
      </c>
      <c r="S168" s="164">
        <f t="shared" si="40"/>
        <v>15.054870372640906</v>
      </c>
      <c r="T168" s="132" t="str">
        <f t="shared" si="41"/>
        <v>1+0.0502857058223079i</v>
      </c>
      <c r="U168" s="138">
        <f t="shared" si="42"/>
        <v>20.50225257319244</v>
      </c>
      <c r="V168" s="132">
        <f t="shared" si="43"/>
        <v>100.2460348177628</v>
      </c>
      <c r="W168" s="132">
        <f t="shared" si="44"/>
        <v>59.84308215804262</v>
      </c>
      <c r="X168" s="138">
        <f t="shared" si="45"/>
        <v>-10.861505895956993</v>
      </c>
      <c r="Y168" s="128" t="str">
        <f t="shared" si="46"/>
        <v>964.502643215682-185.061990851396i</v>
      </c>
      <c r="Z168" s="128" t="str">
        <f t="shared" si="47"/>
        <v>-23048299.3337212i</v>
      </c>
      <c r="AA168" s="128" t="str">
        <f t="shared" si="51"/>
        <v>64900-1902818.87530246i</v>
      </c>
      <c r="AB168" s="128" t="str">
        <f t="shared" si="52"/>
        <v>5900-3488501.27138785i</v>
      </c>
      <c r="AC168" s="128" t="str">
        <f t="shared" si="53"/>
        <v>58359.6578442334-1804500.1657138i</v>
      </c>
      <c r="AD168" s="128" t="str">
        <f t="shared" si="54"/>
        <v>109884.890298787-3464.71388293944i</v>
      </c>
      <c r="AE168" s="128" t="str">
        <f t="shared" si="55"/>
        <v>-2.99309521726784+15.6586529030072i</v>
      </c>
      <c r="AF168" s="130"/>
      <c r="AG168" s="130"/>
      <c r="AH168" s="130"/>
      <c r="AI168" s="130"/>
      <c r="AJ168" s="130"/>
      <c r="AK168" s="130"/>
      <c r="AL168" s="130"/>
      <c r="AM168" s="130"/>
      <c r="AN168" s="130"/>
      <c r="AO168" s="130"/>
      <c r="AP168" s="130"/>
      <c r="AQ168" s="130"/>
      <c r="AR168" s="130"/>
      <c r="AS168" s="130"/>
    </row>
    <row r="169" spans="1:45" s="166" customFormat="1" x14ac:dyDescent="0.2">
      <c r="A169" s="132">
        <f t="shared" si="48"/>
        <v>35.167000000000002</v>
      </c>
      <c r="B169" s="132">
        <f t="shared" si="49"/>
        <v>2.780000000000002</v>
      </c>
      <c r="C169" s="138">
        <f t="shared" si="28"/>
        <v>602.55958607436048</v>
      </c>
      <c r="D169" s="137">
        <f t="shared" si="29"/>
        <v>35.167431865926361</v>
      </c>
      <c r="E169" s="132">
        <f t="shared" si="30"/>
        <v>99.104469231614445</v>
      </c>
      <c r="G169" s="138"/>
      <c r="H169" s="184" t="str">
        <f t="shared" si="31"/>
        <v>0.5-1.20059754458763i</v>
      </c>
      <c r="I169" s="132" t="str">
        <f t="shared" si="32"/>
        <v>0.01-6.00298772293814i</v>
      </c>
      <c r="J169" s="132" t="str">
        <f t="shared" si="33"/>
        <v>0.345815784884453-1.02428694832047i</v>
      </c>
      <c r="K169" s="132"/>
      <c r="L169" s="132" t="str">
        <f t="shared" si="34"/>
        <v>0.563893491096282-0.483818396411021i</v>
      </c>
      <c r="M169" s="132" t="str">
        <f t="shared" si="35"/>
        <v>0.009+0.0124937786751447i</v>
      </c>
      <c r="N169" s="132" t="str">
        <f t="shared" si="36"/>
        <v>1.00133111459419-0.0207130850364007i</v>
      </c>
      <c r="O169" s="185">
        <f t="shared" si="37"/>
        <v>1.3412139989385605E-2</v>
      </c>
      <c r="P169" s="185">
        <f t="shared" si="38"/>
        <v>-1.1850257215663969</v>
      </c>
      <c r="Q169" s="132">
        <f t="shared" si="39"/>
        <v>3785.9935379226349</v>
      </c>
      <c r="R169" s="132">
        <f t="shared" si="50"/>
        <v>2.7800000000000016</v>
      </c>
      <c r="S169" s="164">
        <f t="shared" si="40"/>
        <v>15.060365879366401</v>
      </c>
      <c r="T169" s="132" t="str">
        <f t="shared" si="41"/>
        <v>1+0.052655598125428i</v>
      </c>
      <c r="U169" s="138">
        <f t="shared" si="42"/>
        <v>20.107065986559963</v>
      </c>
      <c r="V169" s="132">
        <f t="shared" si="43"/>
        <v>100.28949495318084</v>
      </c>
      <c r="W169" s="132">
        <f t="shared" si="44"/>
        <v>59.828238639910509</v>
      </c>
      <c r="X169" s="138">
        <f t="shared" si="45"/>
        <v>-11.36038148488592</v>
      </c>
      <c r="Y169" s="128" t="str">
        <f t="shared" si="46"/>
        <v>961.210724855794-193.122501458169i</v>
      </c>
      <c r="Z169" s="128" t="str">
        <f t="shared" si="47"/>
        <v>-22010954.9841065i</v>
      </c>
      <c r="AA169" s="128" t="str">
        <f t="shared" si="51"/>
        <v>64900-1817177.9184555i</v>
      </c>
      <c r="AB169" s="128" t="str">
        <f t="shared" si="52"/>
        <v>5900-3331492.85050175i</v>
      </c>
      <c r="AC169" s="128" t="str">
        <f t="shared" si="53"/>
        <v>58359.6403207098-1723293.76568344i</v>
      </c>
      <c r="AD169" s="128" t="str">
        <f t="shared" si="54"/>
        <v>109873.798147164-3627.61493047665i</v>
      </c>
      <c r="AE169" s="128" t="str">
        <f t="shared" si="55"/>
        <v>-2.82129729518127+14.9733588055071i</v>
      </c>
      <c r="AF169" s="130"/>
      <c r="AG169" s="130"/>
      <c r="AH169" s="130"/>
      <c r="AI169" s="130"/>
      <c r="AJ169" s="130"/>
      <c r="AK169" s="130"/>
      <c r="AL169" s="130"/>
      <c r="AM169" s="130"/>
      <c r="AN169" s="130"/>
      <c r="AO169" s="130"/>
      <c r="AP169" s="130"/>
      <c r="AQ169" s="130"/>
      <c r="AR169" s="130"/>
      <c r="AS169" s="130"/>
    </row>
    <row r="170" spans="1:45" s="166" customFormat="1" x14ac:dyDescent="0.2">
      <c r="A170" s="132">
        <f t="shared" si="48"/>
        <v>34.777999999999999</v>
      </c>
      <c r="B170" s="132">
        <f t="shared" si="49"/>
        <v>2.800000000000002</v>
      </c>
      <c r="C170" s="138">
        <f t="shared" si="28"/>
        <v>630.95734448019596</v>
      </c>
      <c r="D170" s="137">
        <f t="shared" si="29"/>
        <v>34.778124112450072</v>
      </c>
      <c r="E170" s="132">
        <f t="shared" si="30"/>
        <v>99.100168773475147</v>
      </c>
      <c r="G170" s="138"/>
      <c r="H170" s="184" t="str">
        <f t="shared" si="31"/>
        <v>0.5-1.14656175387673i</v>
      </c>
      <c r="I170" s="132" t="str">
        <f t="shared" si="32"/>
        <v>0.01-5.73280876938362i</v>
      </c>
      <c r="J170" s="132" t="str">
        <f t="shared" si="33"/>
        <v>0.345654183004402-0.980366283193057i</v>
      </c>
      <c r="K170" s="132"/>
      <c r="L170" s="132" t="str">
        <f t="shared" si="34"/>
        <v>0.545625492468565-0.473504851250749i</v>
      </c>
      <c r="M170" s="132" t="str">
        <f t="shared" si="35"/>
        <v>0.009+0.0130825923237736i</v>
      </c>
      <c r="N170" s="132" t="str">
        <f t="shared" si="36"/>
        <v>1.0019859335344-0.0219395330453129i</v>
      </c>
      <c r="O170" s="185">
        <f t="shared" si="37"/>
        <v>1.931416315724983E-2</v>
      </c>
      <c r="P170" s="185">
        <f t="shared" si="38"/>
        <v>-1.2543507576180017</v>
      </c>
      <c r="Q170" s="132">
        <f t="shared" si="39"/>
        <v>3964.4219162950162</v>
      </c>
      <c r="R170" s="132">
        <f t="shared" si="50"/>
        <v>2.8000000000000016</v>
      </c>
      <c r="S170" s="164">
        <f t="shared" si="40"/>
        <v>15.066267902534268</v>
      </c>
      <c r="T170" s="132" t="str">
        <f t="shared" si="41"/>
        <v>1+0.0551371800118311i</v>
      </c>
      <c r="U170" s="138">
        <f t="shared" si="42"/>
        <v>19.711856209915808</v>
      </c>
      <c r="V170" s="132">
        <f t="shared" si="43"/>
        <v>100.35451953109315</v>
      </c>
      <c r="W170" s="132">
        <f t="shared" si="44"/>
        <v>59.812021145532668</v>
      </c>
      <c r="X170" s="138">
        <f t="shared" si="45"/>
        <v>-11.880904783981935</v>
      </c>
      <c r="Y170" s="128" t="str">
        <f t="shared" si="46"/>
        <v>957.626931539834-201.470344309894i</v>
      </c>
      <c r="Z170" s="128" t="str">
        <f t="shared" si="47"/>
        <v>-21020298.8210733i</v>
      </c>
      <c r="AA170" s="128" t="str">
        <f t="shared" si="51"/>
        <v>64900-1735391.43960687i</v>
      </c>
      <c r="AB170" s="128" t="str">
        <f t="shared" si="52"/>
        <v>5900-3181550.97261259i</v>
      </c>
      <c r="AC170" s="128" t="str">
        <f t="shared" si="53"/>
        <v>58359.6211065599-1645742.70276987i</v>
      </c>
      <c r="AD170" s="128" t="str">
        <f t="shared" si="54"/>
        <v>109861.638556505-3798.13619606288i</v>
      </c>
      <c r="AE170" s="128" t="str">
        <f t="shared" si="55"/>
        <v>-2.66420123523587+14.3162196922848i</v>
      </c>
      <c r="AF170" s="130"/>
      <c r="AG170" s="130"/>
      <c r="AH170" s="130"/>
      <c r="AI170" s="130"/>
      <c r="AJ170" s="130"/>
      <c r="AK170" s="130"/>
      <c r="AL170" s="130"/>
      <c r="AM170" s="130"/>
      <c r="AN170" s="130"/>
      <c r="AO170" s="130"/>
      <c r="AP170" s="130"/>
      <c r="AQ170" s="130"/>
      <c r="AR170" s="130"/>
      <c r="AS170" s="130"/>
    </row>
    <row r="171" spans="1:45" s="166" customFormat="1" x14ac:dyDescent="0.2">
      <c r="A171" s="132">
        <f t="shared" si="48"/>
        <v>34.389000000000003</v>
      </c>
      <c r="B171" s="132">
        <f t="shared" si="49"/>
        <v>2.8200000000000016</v>
      </c>
      <c r="C171" s="138">
        <f t="shared" si="28"/>
        <v>660.6934480075987</v>
      </c>
      <c r="D171" s="137">
        <f t="shared" si="29"/>
        <v>34.38925996703319</v>
      </c>
      <c r="E171" s="132">
        <f t="shared" si="30"/>
        <v>99.112733402443169</v>
      </c>
      <c r="G171" s="138"/>
      <c r="H171" s="184" t="str">
        <f t="shared" si="31"/>
        <v>0.5-1.09495797436801i</v>
      </c>
      <c r="I171" s="132" t="str">
        <f t="shared" si="32"/>
        <v>0.01-5.47478987184005i</v>
      </c>
      <c r="J171" s="132" t="str">
        <f t="shared" si="33"/>
        <v>0.345477168632811-0.938522806125967i</v>
      </c>
      <c r="K171" s="132"/>
      <c r="L171" s="132" t="str">
        <f t="shared" si="34"/>
        <v>0.528225506988981-0.462815338165875i</v>
      </c>
      <c r="M171" s="132" t="str">
        <f t="shared" si="35"/>
        <v>0.009+0.0136991559047348i</v>
      </c>
      <c r="N171" s="132" t="str">
        <f t="shared" si="36"/>
        <v>1.00268700481013-0.023253509746235i</v>
      </c>
      <c r="O171" s="185">
        <f t="shared" si="37"/>
        <v>2.56428719697879E-2</v>
      </c>
      <c r="P171" s="185">
        <f t="shared" si="38"/>
        <v>-1.3285194502292381</v>
      </c>
      <c r="Q171" s="132">
        <f t="shared" si="39"/>
        <v>4151.2593650711642</v>
      </c>
      <c r="R171" s="132">
        <f t="shared" si="50"/>
        <v>2.8200000000000016</v>
      </c>
      <c r="S171" s="164">
        <f t="shared" si="40"/>
        <v>15.072596611346805</v>
      </c>
      <c r="T171" s="132" t="str">
        <f t="shared" si="41"/>
        <v>1+0.0577357152494097i</v>
      </c>
      <c r="U171" s="138">
        <f t="shared" si="42"/>
        <v>19.316663355686387</v>
      </c>
      <c r="V171" s="132">
        <f t="shared" si="43"/>
        <v>100.44125285267241</v>
      </c>
      <c r="W171" s="132">
        <f t="shared" si="44"/>
        <v>59.794308346589077</v>
      </c>
      <c r="X171" s="138">
        <f t="shared" si="45"/>
        <v>-12.423835878934074</v>
      </c>
      <c r="Y171" s="128" t="str">
        <f t="shared" si="46"/>
        <v>953.727961247744-210.106674403855i</v>
      </c>
      <c r="Z171" s="128" t="str">
        <f t="shared" si="47"/>
        <v>-20074229.5300801i</v>
      </c>
      <c r="AA171" s="128" t="str">
        <f t="shared" si="51"/>
        <v>64900-1657285.95866962i</v>
      </c>
      <c r="AB171" s="128" t="str">
        <f t="shared" si="52"/>
        <v>5900-3038357.59089431i</v>
      </c>
      <c r="AC171" s="128" t="str">
        <f t="shared" si="53"/>
        <v>58359.6000386784-1571682.48077025i</v>
      </c>
      <c r="AD171" s="128" t="str">
        <f t="shared" si="54"/>
        <v>109848.309089561-3976.62837965159i</v>
      </c>
      <c r="AE171" s="128" t="str">
        <f t="shared" si="55"/>
        <v>-2.52058215150233+13.6862949594589i</v>
      </c>
      <c r="AF171" s="130"/>
      <c r="AG171" s="130"/>
      <c r="AH171" s="130"/>
      <c r="AI171" s="130"/>
      <c r="AJ171" s="130"/>
      <c r="AK171" s="130"/>
      <c r="AL171" s="130"/>
      <c r="AM171" s="130"/>
      <c r="AN171" s="130"/>
      <c r="AO171" s="130"/>
      <c r="AP171" s="130"/>
      <c r="AQ171" s="130"/>
      <c r="AR171" s="130"/>
      <c r="AS171" s="130"/>
    </row>
    <row r="172" spans="1:45" s="166" customFormat="1" x14ac:dyDescent="0.2">
      <c r="A172" s="132">
        <f t="shared" si="48"/>
        <v>34.000999999999998</v>
      </c>
      <c r="B172" s="132">
        <f t="shared" si="49"/>
        <v>2.8400000000000016</v>
      </c>
      <c r="C172" s="138">
        <f t="shared" si="28"/>
        <v>691.83097091893922</v>
      </c>
      <c r="D172" s="137">
        <f t="shared" si="29"/>
        <v>34.000899436783911</v>
      </c>
      <c r="E172" s="132">
        <f t="shared" si="30"/>
        <v>99.141972699777767</v>
      </c>
      <c r="G172" s="138"/>
      <c r="H172" s="184" t="str">
        <f t="shared" si="31"/>
        <v>0.5-1.0456767475265i</v>
      </c>
      <c r="I172" s="132" t="str">
        <f t="shared" si="32"/>
        <v>0.01-5.2283837376325i</v>
      </c>
      <c r="J172" s="132" t="str">
        <f t="shared" si="33"/>
        <v>0.345283290577695-0.898667424886921i</v>
      </c>
      <c r="K172" s="132"/>
      <c r="L172" s="132" t="str">
        <f t="shared" si="34"/>
        <v>0.511698922077292-0.451828363273894i</v>
      </c>
      <c r="M172" s="132" t="str">
        <f t="shared" si="35"/>
        <v>0.009+0.0143447772320479i</v>
      </c>
      <c r="N172" s="132" t="str">
        <f t="shared" si="36"/>
        <v>1.00343621215079-0.0246620268901077i</v>
      </c>
      <c r="O172" s="185">
        <f t="shared" si="37"/>
        <v>3.2417991768492069E-2</v>
      </c>
      <c r="P172" s="185">
        <f t="shared" si="38"/>
        <v>-1.4079077713780204</v>
      </c>
      <c r="Q172" s="132">
        <f t="shared" si="39"/>
        <v>4346.9021915296662</v>
      </c>
      <c r="R172" s="132">
        <f t="shared" si="50"/>
        <v>2.8400000000000016</v>
      </c>
      <c r="S172" s="164">
        <f t="shared" si="40"/>
        <v>15.07937173114551</v>
      </c>
      <c r="T172" s="132" t="str">
        <f t="shared" si="41"/>
        <v>1+0.0604567156797946i</v>
      </c>
      <c r="U172" s="138">
        <f t="shared" si="42"/>
        <v>18.921527705638404</v>
      </c>
      <c r="V172" s="132">
        <f t="shared" si="43"/>
        <v>100.54988047115579</v>
      </c>
      <c r="W172" s="132">
        <f t="shared" si="44"/>
        <v>59.774969322942503</v>
      </c>
      <c r="X172" s="138">
        <f t="shared" si="45"/>
        <v>-12.989936033011727</v>
      </c>
      <c r="Y172" s="128" t="str">
        <f t="shared" si="46"/>
        <v>949.489143498263-219.031181771226i</v>
      </c>
      <c r="Z172" s="128" t="str">
        <f t="shared" si="47"/>
        <v>-19170740.3713191i</v>
      </c>
      <c r="AA172" s="128" t="str">
        <f t="shared" si="51"/>
        <v>64900-1582695.80344692i</v>
      </c>
      <c r="AB172" s="128" t="str">
        <f t="shared" si="52"/>
        <v>5900-2901608.97298602i</v>
      </c>
      <c r="AC172" s="128" t="str">
        <f t="shared" si="53"/>
        <v>58359.576938223-1500956.00802325i</v>
      </c>
      <c r="AD172" s="128" t="str">
        <f t="shared" si="54"/>
        <v>109833.69753647-4163.45746685663i</v>
      </c>
      <c r="AE172" s="128" t="str">
        <f t="shared" si="55"/>
        <v>-2.3893117162642+13.0826456546172i</v>
      </c>
      <c r="AF172" s="130"/>
      <c r="AG172" s="130"/>
      <c r="AH172" s="130"/>
      <c r="AI172" s="130"/>
      <c r="AJ172" s="130"/>
      <c r="AK172" s="130"/>
      <c r="AL172" s="130"/>
      <c r="AM172" s="130"/>
      <c r="AN172" s="130"/>
      <c r="AO172" s="130"/>
      <c r="AP172" s="130"/>
      <c r="AQ172" s="130"/>
      <c r="AR172" s="130"/>
      <c r="AS172" s="130"/>
    </row>
    <row r="173" spans="1:45" s="166" customFormat="1" x14ac:dyDescent="0.2">
      <c r="A173" s="132">
        <f t="shared" si="48"/>
        <v>33.613</v>
      </c>
      <c r="B173" s="132">
        <f t="shared" si="49"/>
        <v>2.8600000000000021</v>
      </c>
      <c r="C173" s="138">
        <f t="shared" si="28"/>
        <v>724.43596007499343</v>
      </c>
      <c r="D173" s="137">
        <f t="shared" si="29"/>
        <v>33.613102369366842</v>
      </c>
      <c r="E173" s="132">
        <f t="shared" si="30"/>
        <v>99.187713717403156</v>
      </c>
      <c r="G173" s="138"/>
      <c r="H173" s="184" t="str">
        <f t="shared" si="31"/>
        <v>0.5-0.998613541262815i</v>
      </c>
      <c r="I173" s="132" t="str">
        <f t="shared" si="32"/>
        <v>0.01-4.99306770631408i</v>
      </c>
      <c r="J173" s="132" t="str">
        <f t="shared" si="33"/>
        <v>0.345070964767901-0.860715215463863i</v>
      </c>
      <c r="K173" s="132"/>
      <c r="L173" s="132" t="str">
        <f t="shared" si="34"/>
        <v>0.496043346822512-0.440619423251538i</v>
      </c>
      <c r="M173" s="132" t="str">
        <f t="shared" si="35"/>
        <v>0.009+0.0150208257551079i</v>
      </c>
      <c r="N173" s="132" t="str">
        <f t="shared" si="36"/>
        <v>1.00423530436957-0.0261725775393596i</v>
      </c>
      <c r="O173" s="185">
        <f t="shared" si="37"/>
        <v>3.9658594789052606E-2</v>
      </c>
      <c r="P173" s="185">
        <f t="shared" si="38"/>
        <v>-1.4929158935382811</v>
      </c>
      <c r="Q173" s="132">
        <f t="shared" si="39"/>
        <v>4551.7653803357362</v>
      </c>
      <c r="R173" s="132">
        <f t="shared" si="50"/>
        <v>2.8600000000000017</v>
      </c>
      <c r="S173" s="164">
        <f t="shared" si="40"/>
        <v>15.08661233416607</v>
      </c>
      <c r="T173" s="132" t="str">
        <f t="shared" si="41"/>
        <v>1+0.0633059529097094i</v>
      </c>
      <c r="U173" s="138">
        <f t="shared" si="42"/>
        <v>18.526490035200773</v>
      </c>
      <c r="V173" s="132">
        <f t="shared" si="43"/>
        <v>100.68062961094144</v>
      </c>
      <c r="W173" s="132">
        <f t="shared" si="44"/>
        <v>59.753863017936879</v>
      </c>
      <c r="X173" s="138">
        <f t="shared" si="45"/>
        <v>-13.579963534750959</v>
      </c>
      <c r="Y173" s="128" t="str">
        <f t="shared" si="46"/>
        <v>944.884455469514-228.241869481625i</v>
      </c>
      <c r="Z173" s="128" t="str">
        <f t="shared" si="47"/>
        <v>-18307914.9231516i</v>
      </c>
      <c r="AA173" s="128" t="str">
        <f t="shared" si="51"/>
        <v>64900-1511462.75821905i</v>
      </c>
      <c r="AB173" s="128" t="str">
        <f t="shared" si="52"/>
        <v>5900-2771015.05673492i</v>
      </c>
      <c r="AC173" s="128" t="str">
        <f t="shared" si="53"/>
        <v>58359.5516090983-1433413.26419648i</v>
      </c>
      <c r="AD173" s="128" t="str">
        <f t="shared" si="54"/>
        <v>109817.680994112-4359.00526699053i</v>
      </c>
      <c r="AE173" s="128" t="str">
        <f t="shared" si="55"/>
        <v>-2.26935147998269+12.5043392366051i</v>
      </c>
      <c r="AF173" s="130"/>
      <c r="AG173" s="130"/>
      <c r="AH173" s="130"/>
      <c r="AI173" s="130"/>
      <c r="AJ173" s="130"/>
      <c r="AK173" s="130"/>
      <c r="AL173" s="130"/>
      <c r="AM173" s="130"/>
      <c r="AN173" s="130"/>
      <c r="AO173" s="130"/>
      <c r="AP173" s="130"/>
      <c r="AQ173" s="130"/>
      <c r="AR173" s="130"/>
      <c r="AS173" s="130"/>
    </row>
    <row r="174" spans="1:45" s="166" customFormat="1" x14ac:dyDescent="0.2">
      <c r="A174" s="132">
        <f t="shared" si="48"/>
        <v>33.225999999999999</v>
      </c>
      <c r="B174" s="132">
        <f t="shared" si="49"/>
        <v>2.8800000000000021</v>
      </c>
      <c r="C174" s="138">
        <f t="shared" si="28"/>
        <v>758.57757502918719</v>
      </c>
      <c r="D174" s="137">
        <f t="shared" si="29"/>
        <v>33.225928573205515</v>
      </c>
      <c r="E174" s="132">
        <f t="shared" si="30"/>
        <v>99.249801435182832</v>
      </c>
      <c r="G174" s="138"/>
      <c r="H174" s="184" t="str">
        <f t="shared" si="31"/>
        <v>0.5-0.953668528206596i</v>
      </c>
      <c r="I174" s="132" t="str">
        <f t="shared" si="32"/>
        <v>0.01-4.76834264103298i</v>
      </c>
      <c r="J174" s="132" t="str">
        <f t="shared" si="33"/>
        <v>0.34483846284144-0.824585234973396i</v>
      </c>
      <c r="K174" s="132"/>
      <c r="L174" s="132" t="str">
        <f t="shared" si="34"/>
        <v>0.481249408645494-0.429260284276763i</v>
      </c>
      <c r="M174" s="132" t="str">
        <f t="shared" si="35"/>
        <v>0.009+0.0157287354634717i</v>
      </c>
      <c r="N174" s="132" t="str">
        <f t="shared" si="36"/>
        <v>1.00508586190361-0.0277931413544573i</v>
      </c>
      <c r="O174" s="185">
        <f t="shared" si="37"/>
        <v>4.7382891599976745E-2</v>
      </c>
      <c r="P174" s="185">
        <f t="shared" si="38"/>
        <v>-1.5839681522256699</v>
      </c>
      <c r="Q174" s="132">
        <f t="shared" si="39"/>
        <v>4766.2834737793091</v>
      </c>
      <c r="R174" s="132">
        <f t="shared" si="50"/>
        <v>2.8800000000000017</v>
      </c>
      <c r="S174" s="164">
        <f t="shared" si="40"/>
        <v>15.094336630976992</v>
      </c>
      <c r="T174" s="132" t="str">
        <f t="shared" si="41"/>
        <v>1+0.0662894705533226i</v>
      </c>
      <c r="U174" s="138">
        <f t="shared" si="42"/>
        <v>18.131591942228521</v>
      </c>
      <c r="V174" s="132">
        <f t="shared" si="43"/>
        <v>100.8337695874085</v>
      </c>
      <c r="W174" s="132">
        <f t="shared" si="44"/>
        <v>59.730837704647072</v>
      </c>
      <c r="X174" s="138">
        <f t="shared" si="45"/>
        <v>-14.194668936587007</v>
      </c>
      <c r="Y174" s="128" t="str">
        <f t="shared" si="46"/>
        <v>939.886561361792-237.734813930517i</v>
      </c>
      <c r="Z174" s="128" t="str">
        <f t="shared" si="47"/>
        <v>-17483923.017121i</v>
      </c>
      <c r="AA174" s="128" t="str">
        <f t="shared" si="51"/>
        <v>64900-1443435.7281467i</v>
      </c>
      <c r="AB174" s="128" t="str">
        <f t="shared" si="52"/>
        <v>5900-2646298.83493562i</v>
      </c>
      <c r="AC174" s="128" t="str">
        <f t="shared" si="53"/>
        <v>58359.5238362906-1368910.98207327i</v>
      </c>
      <c r="AD174" s="128" t="str">
        <f t="shared" si="54"/>
        <v>109800.124861105-4563.66994988147i</v>
      </c>
      <c r="AE174" s="128" t="str">
        <f t="shared" si="55"/>
        <v>-2.15974649122964+11.9504535739179i</v>
      </c>
      <c r="AF174" s="130"/>
      <c r="AG174" s="130"/>
      <c r="AH174" s="130"/>
      <c r="AI174" s="130"/>
      <c r="AJ174" s="130"/>
      <c r="AK174" s="130"/>
      <c r="AL174" s="130"/>
      <c r="AM174" s="130"/>
      <c r="AN174" s="130"/>
      <c r="AO174" s="130"/>
      <c r="AP174" s="130"/>
      <c r="AQ174" s="130"/>
      <c r="AR174" s="130"/>
      <c r="AS174" s="130"/>
    </row>
    <row r="175" spans="1:45" s="166" customFormat="1" x14ac:dyDescent="0.2">
      <c r="A175" s="132">
        <f t="shared" si="48"/>
        <v>32.838999999999999</v>
      </c>
      <c r="B175" s="132">
        <f t="shared" si="49"/>
        <v>2.9000000000000017</v>
      </c>
      <c r="C175" s="138">
        <f t="shared" si="28"/>
        <v>794.32823472428493</v>
      </c>
      <c r="D175" s="137">
        <f t="shared" si="29"/>
        <v>32.839437954236573</v>
      </c>
      <c r="E175" s="132">
        <f t="shared" si="30"/>
        <v>99.328099519676314</v>
      </c>
      <c r="G175" s="138"/>
      <c r="H175" s="184" t="str">
        <f t="shared" si="31"/>
        <v>0.5-0.910746373959272i</v>
      </c>
      <c r="I175" s="132" t="str">
        <f t="shared" si="32"/>
        <v>0.01-4.55373186979638i</v>
      </c>
      <c r="J175" s="132" t="str">
        <f t="shared" si="33"/>
        <v>0.344583899907162-0.790200342052193i</v>
      </c>
      <c r="K175" s="132"/>
      <c r="L175" s="132" t="str">
        <f t="shared" si="34"/>
        <v>0.467301590485817-0.417818423951841i</v>
      </c>
      <c r="M175" s="132" t="str">
        <f t="shared" si="35"/>
        <v>0.009+0.0164700079285418i</v>
      </c>
      <c r="N175" s="132" t="str">
        <f t="shared" si="36"/>
        <v>1.00598926324459-0.0295321848449691i</v>
      </c>
      <c r="O175" s="185">
        <f t="shared" si="37"/>
        <v>5.560803242845664E-2</v>
      </c>
      <c r="P175" s="185">
        <f t="shared" si="38"/>
        <v>-1.6815127074322467</v>
      </c>
      <c r="Q175" s="132">
        <f t="shared" si="39"/>
        <v>4990.911493497525</v>
      </c>
      <c r="R175" s="132">
        <f t="shared" si="50"/>
        <v>2.9000000000000017</v>
      </c>
      <c r="S175" s="164">
        <f t="shared" si="40"/>
        <v>15.102561771805474</v>
      </c>
      <c r="T175" s="132" t="str">
        <f t="shared" si="41"/>
        <v>1+0.0694135970515636i</v>
      </c>
      <c r="U175" s="138">
        <f t="shared" si="42"/>
        <v>17.7368761824311</v>
      </c>
      <c r="V175" s="132">
        <f t="shared" si="43"/>
        <v>101.00961222710856</v>
      </c>
      <c r="W175" s="132">
        <f t="shared" si="44"/>
        <v>59.705730473253553</v>
      </c>
      <c r="X175" s="138">
        <f t="shared" si="45"/>
        <v>-14.834789638878307</v>
      </c>
      <c r="Y175" s="128" t="str">
        <f t="shared" si="46"/>
        <v>934.466879470686-247.503908415724i</v>
      </c>
      <c r="Z175" s="128" t="str">
        <f t="shared" si="47"/>
        <v>-16697016.8559201i</v>
      </c>
      <c r="AA175" s="128" t="str">
        <f t="shared" si="51"/>
        <v>64900-1378470.41877855i</v>
      </c>
      <c r="AB175" s="128" t="str">
        <f t="shared" si="52"/>
        <v>5900-2527195.76776068i</v>
      </c>
      <c r="AC175" s="128" t="str">
        <f t="shared" si="53"/>
        <v>58359.4933840429-1307312.34366365i</v>
      </c>
      <c r="AD175" s="128" t="str">
        <f t="shared" si="54"/>
        <v>109780.881741175-4777.86657758664i</v>
      </c>
      <c r="AE175" s="128" t="str">
        <f t="shared" si="55"/>
        <v>-2.05961923456353+11.4200802713133i</v>
      </c>
      <c r="AF175" s="130"/>
      <c r="AG175" s="130"/>
      <c r="AH175" s="130"/>
      <c r="AI175" s="130"/>
      <c r="AJ175" s="130"/>
      <c r="AK175" s="130"/>
      <c r="AL175" s="130"/>
      <c r="AM175" s="130"/>
      <c r="AN175" s="130"/>
      <c r="AO175" s="130"/>
      <c r="AP175" s="130"/>
      <c r="AQ175" s="130"/>
      <c r="AR175" s="130"/>
      <c r="AS175" s="130"/>
    </row>
    <row r="176" spans="1:45" s="166" customFormat="1" x14ac:dyDescent="0.2">
      <c r="A176" s="132">
        <f t="shared" si="48"/>
        <v>32.454000000000001</v>
      </c>
      <c r="B176" s="132">
        <f t="shared" si="49"/>
        <v>2.9200000000000021</v>
      </c>
      <c r="C176" s="138">
        <f t="shared" si="28"/>
        <v>831.76377110267515</v>
      </c>
      <c r="D176" s="137">
        <f t="shared" si="29"/>
        <v>32.45369068243906</v>
      </c>
      <c r="E176" s="132">
        <f t="shared" si="30"/>
        <v>99.422491399822874</v>
      </c>
      <c r="G176" s="138"/>
      <c r="H176" s="184" t="str">
        <f t="shared" si="31"/>
        <v>0.5-0.869756034877018i</v>
      </c>
      <c r="I176" s="132" t="str">
        <f t="shared" si="32"/>
        <v>0.01-4.34878017438507i</v>
      </c>
      <c r="J176" s="132" t="str">
        <f t="shared" si="33"/>
        <v>0.344305221452225-0.757487024225236i</v>
      </c>
      <c r="K176" s="132"/>
      <c r="L176" s="132" t="str">
        <f t="shared" si="34"/>
        <v>0.454179079352815-0.406356628302453i</v>
      </c>
      <c r="M176" s="132" t="str">
        <f t="shared" si="35"/>
        <v>0.009+0.0172462154886008i</v>
      </c>
      <c r="N176" s="132" t="str">
        <f t="shared" si="36"/>
        <v>1.00694665245198-0.0313986562295854i</v>
      </c>
      <c r="O176" s="185">
        <f t="shared" si="37"/>
        <v>6.4349929336066314E-2</v>
      </c>
      <c r="P176" s="185">
        <f t="shared" si="38"/>
        <v>-1.7860208866245713</v>
      </c>
      <c r="Q176" s="132">
        <f t="shared" si="39"/>
        <v>5226.1259056366134</v>
      </c>
      <c r="R176" s="132">
        <f t="shared" si="50"/>
        <v>2.9200000000000017</v>
      </c>
      <c r="S176" s="164">
        <f t="shared" si="40"/>
        <v>15.111303668713083</v>
      </c>
      <c r="T176" s="132" t="str">
        <f t="shared" si="41"/>
        <v>1+0.072684959095594i</v>
      </c>
      <c r="U176" s="138">
        <f t="shared" si="42"/>
        <v>17.342387013725979</v>
      </c>
      <c r="V176" s="132">
        <f t="shared" si="43"/>
        <v>101.20851228644744</v>
      </c>
      <c r="W176" s="132">
        <f t="shared" si="44"/>
        <v>59.678366751580178</v>
      </c>
      <c r="X176" s="138">
        <f t="shared" si="45"/>
        <v>-15.50104377737653</v>
      </c>
      <c r="Y176" s="128" t="str">
        <f t="shared" si="46"/>
        <v>928.595681811819-257.540591754354i</v>
      </c>
      <c r="Z176" s="128" t="str">
        <f t="shared" si="47"/>
        <v>-15945527.3060786i</v>
      </c>
      <c r="AA176" s="128" t="str">
        <f t="shared" si="51"/>
        <v>64900-1316429.02998338i</v>
      </c>
      <c r="AB176" s="128" t="str">
        <f t="shared" si="52"/>
        <v>5900-2413453.2216362i</v>
      </c>
      <c r="AC176" s="128" t="str">
        <f t="shared" si="53"/>
        <v>58359.4599938536-1248486.68999504i</v>
      </c>
      <c r="AD176" s="128" t="str">
        <f t="shared" si="54"/>
        <v>109759.790247144-5002.02762639818i</v>
      </c>
      <c r="AE176" s="128" t="str">
        <f t="shared" si="55"/>
        <v>-1.9681638962221+10.9123274060024i</v>
      </c>
      <c r="AF176" s="130"/>
      <c r="AG176" s="130"/>
      <c r="AH176" s="130"/>
      <c r="AI176" s="130"/>
      <c r="AJ176" s="130"/>
      <c r="AK176" s="130"/>
      <c r="AL176" s="130"/>
      <c r="AM176" s="130"/>
      <c r="AN176" s="130"/>
      <c r="AO176" s="130"/>
      <c r="AP176" s="130"/>
      <c r="AQ176" s="130"/>
      <c r="AR176" s="130"/>
      <c r="AS176" s="130"/>
    </row>
    <row r="177" spans="1:45" s="166" customFormat="1" x14ac:dyDescent="0.2">
      <c r="A177" s="132">
        <f t="shared" si="48"/>
        <v>32.069000000000003</v>
      </c>
      <c r="B177" s="132">
        <f t="shared" si="49"/>
        <v>2.9400000000000022</v>
      </c>
      <c r="C177" s="138">
        <f t="shared" si="28"/>
        <v>870.96358995608477</v>
      </c>
      <c r="D177" s="137">
        <f t="shared" si="29"/>
        <v>32.068747403002021</v>
      </c>
      <c r="E177" s="132">
        <f t="shared" si="30"/>
        <v>99.532881660277184</v>
      </c>
      <c r="G177" s="138"/>
      <c r="H177" s="184" t="str">
        <f t="shared" si="31"/>
        <v>0.5-0.830610564954951i</v>
      </c>
      <c r="I177" s="132" t="str">
        <f t="shared" si="32"/>
        <v>0.01-4.15305282477475i</v>
      </c>
      <c r="J177" s="132" t="str">
        <f t="shared" si="33"/>
        <v>0.344000189374718-0.726375231745207i</v>
      </c>
      <c r="K177" s="132"/>
      <c r="L177" s="132" t="str">
        <f t="shared" si="34"/>
        <v>0.441856601429706-0.394932731659691i</v>
      </c>
      <c r="M177" s="132" t="str">
        <f t="shared" si="35"/>
        <v>0.009+0.0180590045839515i</v>
      </c>
      <c r="N177" s="132" t="str">
        <f t="shared" si="36"/>
        <v>1.00795890914419-0.0334019747821511i</v>
      </c>
      <c r="O177" s="185">
        <f t="shared" si="37"/>
        <v>7.3623111794691984E-2</v>
      </c>
      <c r="P177" s="185">
        <f t="shared" si="38"/>
        <v>-1.8979862051346925</v>
      </c>
      <c r="Q177" s="132">
        <f t="shared" si="39"/>
        <v>5472.4256315004577</v>
      </c>
      <c r="R177" s="132">
        <f t="shared" si="50"/>
        <v>2.9400000000000017</v>
      </c>
      <c r="S177" s="164">
        <f t="shared" si="40"/>
        <v>15.120576851171709</v>
      </c>
      <c r="T177" s="132" t="str">
        <f t="shared" si="41"/>
        <v>1+0.0761104956829084i</v>
      </c>
      <c r="U177" s="138">
        <f t="shared" si="42"/>
        <v>16.948170551830312</v>
      </c>
      <c r="V177" s="132">
        <f t="shared" si="43"/>
        <v>101.43086786541187</v>
      </c>
      <c r="W177" s="132">
        <f t="shared" si="44"/>
        <v>59.648559872830646</v>
      </c>
      <c r="X177" s="138">
        <f t="shared" si="45"/>
        <v>-16.194123377962708</v>
      </c>
      <c r="Y177" s="128" t="str">
        <f t="shared" si="46"/>
        <v>922.242231438153-267.833564592496i</v>
      </c>
      <c r="Z177" s="128" t="str">
        <f t="shared" si="47"/>
        <v>-15227860.3575074i</v>
      </c>
      <c r="AA177" s="128" t="str">
        <f t="shared" si="51"/>
        <v>64900-1257179.96365752i</v>
      </c>
      <c r="AB177" s="128" t="str">
        <f t="shared" si="52"/>
        <v>5900-2304829.93337212i</v>
      </c>
      <c r="AC177" s="128" t="str">
        <f t="shared" si="53"/>
        <v>58359.4233822836-1192309.24396699i</v>
      </c>
      <c r="AD177" s="128" t="str">
        <f t="shared" si="54"/>
        <v>109736.673697207-5236.60349371107i</v>
      </c>
      <c r="AE177" s="128" t="str">
        <f t="shared" si="55"/>
        <v>-1.88464096100008+10.4263217468888i</v>
      </c>
      <c r="AF177" s="130"/>
      <c r="AG177" s="130"/>
      <c r="AH177" s="130"/>
      <c r="AI177" s="130"/>
      <c r="AJ177" s="130"/>
      <c r="AK177" s="130"/>
      <c r="AL177" s="130"/>
      <c r="AM177" s="130"/>
      <c r="AN177" s="130"/>
      <c r="AO177" s="130"/>
      <c r="AP177" s="130"/>
      <c r="AQ177" s="130"/>
      <c r="AR177" s="130"/>
      <c r="AS177" s="130"/>
    </row>
    <row r="178" spans="1:45" s="166" customFormat="1" x14ac:dyDescent="0.2">
      <c r="A178" s="132">
        <f t="shared" si="48"/>
        <v>31.684999999999999</v>
      </c>
      <c r="B178" s="132">
        <f t="shared" si="49"/>
        <v>2.9600000000000022</v>
      </c>
      <c r="C178" s="138">
        <f t="shared" si="28"/>
        <v>912.01083935591396</v>
      </c>
      <c r="D178" s="137">
        <f t="shared" si="29"/>
        <v>31.684669508299621</v>
      </c>
      <c r="E178" s="132">
        <f t="shared" si="30"/>
        <v>99.659197734878546</v>
      </c>
      <c r="G178" s="138"/>
      <c r="H178" s="184" t="str">
        <f t="shared" si="31"/>
        <v>0.5-0.793226931403055i</v>
      </c>
      <c r="I178" s="132" t="str">
        <f t="shared" si="32"/>
        <v>0.01-3.96613465701528i</v>
      </c>
      <c r="J178" s="132" t="str">
        <f t="shared" si="33"/>
        <v>0.343666367130006-0.696798217395781i</v>
      </c>
      <c r="K178" s="132"/>
      <c r="L178" s="132" t="str">
        <f t="shared" si="34"/>
        <v>0.430305223575561-0.383599484278739i</v>
      </c>
      <c r="M178" s="132" t="str">
        <f t="shared" si="35"/>
        <v>0.009+0.0189100992492377i</v>
      </c>
      <c r="N178" s="132" t="str">
        <f t="shared" si="36"/>
        <v>1.00902662253212-0.0355520148428653i</v>
      </c>
      <c r="O178" s="185">
        <f t="shared" si="37"/>
        <v>8.3440629474672581E-2</v>
      </c>
      <c r="P178" s="185">
        <f t="shared" si="38"/>
        <v>-2.0179230763710958</v>
      </c>
      <c r="Q178" s="132">
        <f t="shared" si="39"/>
        <v>5730.3331058296008</v>
      </c>
      <c r="R178" s="132">
        <f t="shared" si="50"/>
        <v>2.9600000000000017</v>
      </c>
      <c r="S178" s="164">
        <f t="shared" si="40"/>
        <v>15.13039436885169</v>
      </c>
      <c r="T178" s="132" t="str">
        <f t="shared" si="41"/>
        <v>1+0.0796974728358781i</v>
      </c>
      <c r="U178" s="138">
        <f t="shared" si="42"/>
        <v>16.554275139447931</v>
      </c>
      <c r="V178" s="132">
        <f t="shared" si="43"/>
        <v>101.67712081124964</v>
      </c>
      <c r="W178" s="132">
        <f t="shared" si="44"/>
        <v>59.616110706657786</v>
      </c>
      <c r="X178" s="138">
        <f t="shared" si="45"/>
        <v>-16.914686750843146</v>
      </c>
      <c r="Y178" s="128" t="str">
        <f t="shared" si="46"/>
        <v>915.374962777675-278.368497125929i</v>
      </c>
      <c r="Z178" s="128" t="str">
        <f t="shared" si="47"/>
        <v>-14542493.7423893i</v>
      </c>
      <c r="AA178" s="128" t="str">
        <f t="shared" si="51"/>
        <v>64900-1200597.54458763i</v>
      </c>
      <c r="AB178" s="128" t="str">
        <f t="shared" si="52"/>
        <v>5900-2201095.49841065i</v>
      </c>
      <c r="AC178" s="128" t="str">
        <f t="shared" si="53"/>
        <v>58359.3832385475-1138660.84568219i</v>
      </c>
      <c r="AD178" s="128" t="str">
        <f t="shared" si="54"/>
        <v>109711.338694649-5482.06298337477i</v>
      </c>
      <c r="AE178" s="128" t="str">
        <f t="shared" si="55"/>
        <v>-1.80837213852879+9.96121052289538i</v>
      </c>
      <c r="AF178" s="130"/>
      <c r="AG178" s="130"/>
      <c r="AH178" s="130"/>
      <c r="AI178" s="130"/>
      <c r="AJ178" s="130"/>
      <c r="AK178" s="130"/>
      <c r="AL178" s="130"/>
      <c r="AM178" s="130"/>
      <c r="AN178" s="130"/>
      <c r="AO178" s="130"/>
      <c r="AP178" s="130"/>
      <c r="AQ178" s="130"/>
      <c r="AR178" s="130"/>
      <c r="AS178" s="130"/>
    </row>
    <row r="179" spans="1:45" s="166" customFormat="1" x14ac:dyDescent="0.2">
      <c r="A179" s="132">
        <f t="shared" si="48"/>
        <v>31.302</v>
      </c>
      <c r="B179" s="132">
        <f t="shared" si="49"/>
        <v>2.9800000000000018</v>
      </c>
      <c r="C179" s="138">
        <f t="shared" si="28"/>
        <v>954.99258602144016</v>
      </c>
      <c r="D179" s="137">
        <f t="shared" si="29"/>
        <v>31.301519487667278</v>
      </c>
      <c r="E179" s="132">
        <f t="shared" si="30"/>
        <v>99.801391861274908</v>
      </c>
      <c r="G179" s="138"/>
      <c r="H179" s="184" t="str">
        <f t="shared" si="31"/>
        <v>0.5-0.757525838522449i</v>
      </c>
      <c r="I179" s="132" t="str">
        <f t="shared" si="32"/>
        <v>0.01-3.78762919261226i</v>
      </c>
      <c r="J179" s="132" t="str">
        <f t="shared" si="33"/>
        <v>0.343301103991289-0.668692381747536i</v>
      </c>
      <c r="K179" s="132"/>
      <c r="L179" s="132" t="str">
        <f t="shared" si="34"/>
        <v>0.419493105715003-0.372404530815222i</v>
      </c>
      <c r="M179" s="132" t="str">
        <f t="shared" si="35"/>
        <v>0.009+0.0198013047703527i</v>
      </c>
      <c r="N179" s="132" t="str">
        <f t="shared" si="36"/>
        <v>1.01015007117521-0.0378590850425013i</v>
      </c>
      <c r="O179" s="185">
        <f t="shared" si="37"/>
        <v>9.3814016835839814E-2</v>
      </c>
      <c r="P179" s="185">
        <f t="shared" si="38"/>
        <v>-2.1463652439890515</v>
      </c>
      <c r="Q179" s="132">
        <f t="shared" si="39"/>
        <v>6000.39538495535</v>
      </c>
      <c r="R179" s="132">
        <f t="shared" si="50"/>
        <v>2.9800000000000018</v>
      </c>
      <c r="S179" s="164">
        <f t="shared" si="40"/>
        <v>15.140767756212858</v>
      </c>
      <c r="T179" s="132" t="str">
        <f t="shared" si="41"/>
        <v>1+0.083453499013959i</v>
      </c>
      <c r="U179" s="138">
        <f t="shared" si="42"/>
        <v>16.160751731454422</v>
      </c>
      <c r="V179" s="132">
        <f t="shared" si="43"/>
        <v>101.94775710526396</v>
      </c>
      <c r="W179" s="132">
        <f t="shared" si="44"/>
        <v>59.580807371841644</v>
      </c>
      <c r="X179" s="138">
        <f t="shared" si="45"/>
        <v>-17.663350107787789</v>
      </c>
      <c r="Y179" s="128" t="str">
        <f t="shared" si="46"/>
        <v>907.961710346002-289.127733181658i</v>
      </c>
      <c r="Z179" s="128" t="str">
        <f t="shared" si="47"/>
        <v>-13887973.7062449i</v>
      </c>
      <c r="AA179" s="128" t="str">
        <f t="shared" si="51"/>
        <v>64900-1146561.75387673i</v>
      </c>
      <c r="AB179" s="128" t="str">
        <f t="shared" si="52"/>
        <v>5900-2102029.88210733i</v>
      </c>
      <c r="AC179" s="128" t="str">
        <f t="shared" si="53"/>
        <v>58359.3392218802-1087427.69969232i</v>
      </c>
      <c r="AD179" s="128" t="str">
        <f t="shared" si="54"/>
        <v>109683.573581572-5738.893762067i</v>
      </c>
      <c r="AE179" s="128" t="str">
        <f t="shared" si="55"/>
        <v>-1.73873561316285+9.51616279947994i</v>
      </c>
      <c r="AF179" s="130"/>
      <c r="AG179" s="130"/>
      <c r="AH179" s="130"/>
      <c r="AI179" s="130"/>
      <c r="AJ179" s="130"/>
      <c r="AK179" s="130"/>
      <c r="AL179" s="130"/>
      <c r="AM179" s="130"/>
      <c r="AN179" s="130"/>
      <c r="AO179" s="130"/>
      <c r="AP179" s="130"/>
      <c r="AQ179" s="130"/>
      <c r="AR179" s="130"/>
      <c r="AS179" s="130"/>
    </row>
    <row r="180" spans="1:45" s="166" customFormat="1" x14ac:dyDescent="0.2">
      <c r="A180" s="132">
        <f t="shared" si="48"/>
        <v>30.919</v>
      </c>
      <c r="B180" s="132">
        <f t="shared" si="49"/>
        <v>3.0000000000000022</v>
      </c>
      <c r="C180" s="132">
        <f t="shared" si="28"/>
        <v>1000.0000000000051</v>
      </c>
      <c r="D180" s="137">
        <f t="shared" si="29"/>
        <v>30.919361372153368</v>
      </c>
      <c r="E180" s="132">
        <f t="shared" si="30"/>
        <v>99.959443233678471</v>
      </c>
      <c r="G180" s="132"/>
      <c r="H180" s="184" t="str">
        <f t="shared" si="31"/>
        <v>0.5-0.723431559508609i</v>
      </c>
      <c r="I180" s="132" t="str">
        <f t="shared" si="32"/>
        <v>0.01-3.61715779754306i</v>
      </c>
      <c r="J180" s="132" t="str">
        <f t="shared" si="33"/>
        <v>0.342901518440165-0.641997123349766i</v>
      </c>
      <c r="K180" s="132"/>
      <c r="L180" s="132" t="str">
        <f t="shared" si="34"/>
        <v>0.409386192996055-0.361390482098838i</v>
      </c>
      <c r="M180" s="132" t="str">
        <f t="shared" si="35"/>
        <v>0.009+0.0207345115136927i</v>
      </c>
      <c r="N180" s="132" t="str">
        <f t="shared" si="36"/>
        <v>1.0113292101808-0.0403339037140475i</v>
      </c>
      <c r="O180" s="185">
        <f t="shared" si="37"/>
        <v>0.10475333424924976</v>
      </c>
      <c r="P180" s="185">
        <f t="shared" si="38"/>
        <v>-2.2838639903351101</v>
      </c>
      <c r="Q180" s="132">
        <f t="shared" si="39"/>
        <v>6283.1853071796186</v>
      </c>
      <c r="R180" s="132">
        <f t="shared" si="50"/>
        <v>3.0000000000000018</v>
      </c>
      <c r="S180" s="164">
        <f t="shared" si="40"/>
        <v>15.151707073626268</v>
      </c>
      <c r="T180" s="132" t="str">
        <f t="shared" si="41"/>
        <v>1+0.0873865412522541i</v>
      </c>
      <c r="U180" s="138">
        <f t="shared" si="42"/>
        <v>15.767654298527102</v>
      </c>
      <c r="V180" s="132">
        <f t="shared" si="43"/>
        <v>102.24330722401358</v>
      </c>
      <c r="W180" s="132">
        <f t="shared" si="44"/>
        <v>59.5424250509638</v>
      </c>
      <c r="X180" s="138">
        <f t="shared" si="45"/>
        <v>-18.440678400854296</v>
      </c>
      <c r="Y180" s="128" t="str">
        <f t="shared" si="46"/>
        <v>899.969991000299-300.089996999101i</v>
      </c>
      <c r="Z180" s="128" t="str">
        <f t="shared" si="47"/>
        <v>-13262911.9243245i</v>
      </c>
      <c r="AA180" s="128" t="str">
        <f t="shared" si="51"/>
        <v>64900-1094957.97436801i</v>
      </c>
      <c r="AB180" s="128" t="str">
        <f t="shared" si="52"/>
        <v>5900-2007422.95300801i</v>
      </c>
      <c r="AC180" s="128" t="str">
        <f t="shared" si="53"/>
        <v>58359.2909586401-1038501.13362258i</v>
      </c>
      <c r="AD180" s="128" t="str">
        <f t="shared" si="54"/>
        <v>109653.146756678-6007.60277799358i</v>
      </c>
      <c r="AE180" s="128" t="str">
        <f t="shared" si="55"/>
        <v>-1.67516160862364+9.09037051603467i</v>
      </c>
      <c r="AF180" s="130"/>
      <c r="AG180" s="130"/>
      <c r="AH180" s="130"/>
      <c r="AI180" s="130"/>
      <c r="AJ180" s="130"/>
      <c r="AK180" s="130"/>
      <c r="AL180" s="130"/>
      <c r="AM180" s="130"/>
      <c r="AN180" s="130"/>
      <c r="AO180" s="130"/>
      <c r="AP180" s="130"/>
      <c r="AQ180" s="130"/>
      <c r="AR180" s="130"/>
      <c r="AS180" s="130"/>
    </row>
    <row r="181" spans="1:45" s="166" customFormat="1" x14ac:dyDescent="0.2">
      <c r="A181" s="132">
        <f t="shared" si="48"/>
        <v>30.538</v>
      </c>
      <c r="B181" s="132">
        <f t="shared" si="49"/>
        <v>3.0200000000000022</v>
      </c>
      <c r="C181" s="146">
        <f t="shared" si="28"/>
        <v>1047.1285480509046</v>
      </c>
      <c r="D181" s="137">
        <f t="shared" si="29"/>
        <v>30.538261290822156</v>
      </c>
      <c r="E181" s="132">
        <f t="shared" si="30"/>
        <v>100.13336026511004</v>
      </c>
      <c r="G181" s="146"/>
      <c r="H181" s="184" t="str">
        <f t="shared" si="31"/>
        <v>0.5-0.69087177582465i</v>
      </c>
      <c r="I181" s="132" t="str">
        <f t="shared" si="32"/>
        <v>0.01-3.45435887912325i</v>
      </c>
      <c r="J181" s="132" t="str">
        <f t="shared" si="33"/>
        <v>0.342464480722026-0.616654693333559i</v>
      </c>
      <c r="K181" s="132"/>
      <c r="L181" s="132" t="str">
        <f t="shared" si="34"/>
        <v>0.399948840561276-0.350595062818564i</v>
      </c>
      <c r="M181" s="132" t="str">
        <f t="shared" si="35"/>
        <v>0.009+0.0217116989358777i</v>
      </c>
      <c r="N181" s="132" t="str">
        <f t="shared" si="36"/>
        <v>1.01256366751389-0.0429875719346135i</v>
      </c>
      <c r="O181" s="185">
        <f t="shared" si="37"/>
        <v>0.11626729973845759</v>
      </c>
      <c r="P181" s="185">
        <f t="shared" si="38"/>
        <v>-2.4309861990844128</v>
      </c>
      <c r="Q181" s="132">
        <f t="shared" si="39"/>
        <v>6579.3027078417372</v>
      </c>
      <c r="R181" s="132">
        <f t="shared" si="50"/>
        <v>3.0200000000000018</v>
      </c>
      <c r="S181" s="164">
        <f t="shared" si="40"/>
        <v>15.163221039115475</v>
      </c>
      <c r="T181" s="132" t="str">
        <f t="shared" si="41"/>
        <v>1+0.0915049420606629i</v>
      </c>
      <c r="U181" s="138">
        <f t="shared" si="42"/>
        <v>15.375040251706682</v>
      </c>
      <c r="V181" s="132">
        <f t="shared" si="43"/>
        <v>102.56434646419446</v>
      </c>
      <c r="W181" s="132">
        <f t="shared" si="44"/>
        <v>59.500725929449047</v>
      </c>
      <c r="X181" s="138">
        <f t="shared" si="45"/>
        <v>-19.247175399743803</v>
      </c>
      <c r="Y181" s="128" t="str">
        <f t="shared" si="46"/>
        <v>891.36734443695-311.230110573742i</v>
      </c>
      <c r="Z181" s="128" t="str">
        <f t="shared" si="47"/>
        <v>-12665982.5567852i</v>
      </c>
      <c r="AA181" s="128" t="str">
        <f t="shared" si="51"/>
        <v>64900-1045676.7475265i</v>
      </c>
      <c r="AB181" s="128" t="str">
        <f t="shared" si="52"/>
        <v>5900-1917074.03713191i</v>
      </c>
      <c r="AC181" s="128" t="str">
        <f t="shared" si="53"/>
        <v>58359.2380391415-991777.367662938i</v>
      </c>
      <c r="AD181" s="128" t="str">
        <f t="shared" si="54"/>
        <v>109619.8048466-6288.71663180913i</v>
      </c>
      <c r="AE181" s="128" t="str">
        <f t="shared" si="55"/>
        <v>-1.61712825628424+8.68304923098272i</v>
      </c>
      <c r="AF181" s="130"/>
      <c r="AG181" s="130"/>
      <c r="AH181" s="130"/>
      <c r="AI181" s="130"/>
      <c r="AJ181" s="130"/>
      <c r="AK181" s="130"/>
      <c r="AL181" s="130"/>
      <c r="AM181" s="130"/>
      <c r="AN181" s="130"/>
      <c r="AO181" s="130"/>
      <c r="AP181" s="130"/>
      <c r="AQ181" s="130"/>
      <c r="AR181" s="130"/>
      <c r="AS181" s="130"/>
    </row>
    <row r="182" spans="1:45" s="166" customFormat="1" x14ac:dyDescent="0.2">
      <c r="A182" s="132">
        <f t="shared" si="48"/>
        <v>30.158000000000001</v>
      </c>
      <c r="B182" s="132">
        <f t="shared" si="49"/>
        <v>3.0400000000000023</v>
      </c>
      <c r="C182" s="146">
        <f t="shared" si="28"/>
        <v>1096.4781961431902</v>
      </c>
      <c r="D182" s="137">
        <f t="shared" si="29"/>
        <v>30.158288153708032</v>
      </c>
      <c r="E182" s="132">
        <f t="shared" si="30"/>
        <v>100.32318284459696</v>
      </c>
      <c r="G182" s="146"/>
      <c r="H182" s="184" t="str">
        <f t="shared" si="31"/>
        <v>0.5-0.659777423804003i</v>
      </c>
      <c r="I182" s="132" t="str">
        <f t="shared" si="32"/>
        <v>0.01-3.29888711902002i</v>
      </c>
      <c r="J182" s="132" t="str">
        <f t="shared" si="33"/>
        <v>0.341986594624916-0.592610053892671i</v>
      </c>
      <c r="K182" s="132"/>
      <c r="L182" s="132" t="str">
        <f t="shared" si="34"/>
        <v>0.391144367213449-0.340051318563505i</v>
      </c>
      <c r="M182" s="132" t="str">
        <f t="shared" si="35"/>
        <v>0.009+0.0227349397824439i</v>
      </c>
      <c r="N182" s="132" t="str">
        <f t="shared" si="36"/>
        <v>1.01385275092102-0.0458315461285715i</v>
      </c>
      <c r="O182" s="185">
        <f t="shared" si="37"/>
        <v>0.12836352392482314</v>
      </c>
      <c r="P182" s="185">
        <f t="shared" si="38"/>
        <v>-2.5883123736804428</v>
      </c>
      <c r="Q182" s="132">
        <f t="shared" si="39"/>
        <v>6889.3756916496686</v>
      </c>
      <c r="R182" s="132">
        <f t="shared" si="50"/>
        <v>3.0400000000000018</v>
      </c>
      <c r="S182" s="164">
        <f t="shared" si="40"/>
        <v>15.175317263301839</v>
      </c>
      <c r="T182" s="132" t="str">
        <f t="shared" si="41"/>
        <v>1+0.0958174371194636i</v>
      </c>
      <c r="U182" s="138">
        <f t="shared" si="42"/>
        <v>14.982970890406193</v>
      </c>
      <c r="V182" s="132">
        <f t="shared" si="43"/>
        <v>102.91149521827739</v>
      </c>
      <c r="W182" s="132">
        <f t="shared" si="44"/>
        <v>59.455459283077481</v>
      </c>
      <c r="X182" s="138">
        <f t="shared" si="45"/>
        <v>-20.083273047794414</v>
      </c>
      <c r="Y182" s="128" t="str">
        <f t="shared" si="46"/>
        <v>882.121735830859-322.518731045802i</v>
      </c>
      <c r="Z182" s="128" t="str">
        <f t="shared" si="47"/>
        <v>-12095919.4364067i</v>
      </c>
      <c r="AA182" s="128" t="str">
        <f t="shared" si="51"/>
        <v>64900-998613.541262815i</v>
      </c>
      <c r="AB182" s="128" t="str">
        <f t="shared" si="52"/>
        <v>5900-1830791.49231516i</v>
      </c>
      <c r="AC182" s="128" t="str">
        <f t="shared" si="53"/>
        <v>58359.1800141756-947157.29443721i</v>
      </c>
      <c r="AD182" s="128" t="str">
        <f t="shared" si="54"/>
        <v>109583.27071978-6582.78188805777i</v>
      </c>
      <c r="AE182" s="128" t="str">
        <f t="shared" si="55"/>
        <v>-1.56415775436979+8.29343861602632i</v>
      </c>
      <c r="AF182" s="130"/>
      <c r="AG182" s="130"/>
      <c r="AH182" s="130"/>
      <c r="AI182" s="130"/>
      <c r="AJ182" s="130"/>
      <c r="AK182" s="130"/>
      <c r="AL182" s="130"/>
      <c r="AM182" s="130"/>
      <c r="AN182" s="130"/>
      <c r="AO182" s="130"/>
      <c r="AP182" s="130"/>
      <c r="AQ182" s="130"/>
      <c r="AR182" s="130"/>
      <c r="AS182" s="130"/>
    </row>
    <row r="183" spans="1:45" s="166" customFormat="1" x14ac:dyDescent="0.2">
      <c r="A183" s="132">
        <f t="shared" si="48"/>
        <v>29.78</v>
      </c>
      <c r="B183" s="132">
        <f t="shared" si="49"/>
        <v>3.0600000000000018</v>
      </c>
      <c r="C183" s="146">
        <f t="shared" si="28"/>
        <v>1148.153621496888</v>
      </c>
      <c r="D183" s="137">
        <f t="shared" si="29"/>
        <v>29.779514474135958</v>
      </c>
      <c r="E183" s="132">
        <f t="shared" si="30"/>
        <v>100.52898445022784</v>
      </c>
      <c r="G183" s="146"/>
      <c r="H183" s="184" t="str">
        <f t="shared" si="31"/>
        <v>0.5-0.630082548157147i</v>
      </c>
      <c r="I183" s="132" t="str">
        <f t="shared" si="32"/>
        <v>0.01-3.15041274078574i</v>
      </c>
      <c r="J183" s="132" t="str">
        <f t="shared" si="33"/>
        <v>0.341464178569358-0.569810740098487i</v>
      </c>
      <c r="K183" s="132"/>
      <c r="L183" s="132" t="str">
        <f t="shared" si="34"/>
        <v>0.382935537117685-0.329787866956768i</v>
      </c>
      <c r="M183" s="132" t="str">
        <f t="shared" si="35"/>
        <v>0.009+0.0238064044844151i</v>
      </c>
      <c r="N183" s="132" t="str">
        <f t="shared" si="36"/>
        <v>1.01519546668888-0.048877612642333i</v>
      </c>
      <c r="O183" s="185">
        <f t="shared" si="37"/>
        <v>0.14104885835317052</v>
      </c>
      <c r="P183" s="185">
        <f t="shared" si="38"/>
        <v>-2.7564347353461214</v>
      </c>
      <c r="Q183" s="132">
        <f t="shared" si="39"/>
        <v>7214.0619649742785</v>
      </c>
      <c r="R183" s="132">
        <f t="shared" si="50"/>
        <v>3.0600000000000018</v>
      </c>
      <c r="S183" s="164">
        <f t="shared" si="40"/>
        <v>15.188002597730188</v>
      </c>
      <c r="T183" s="132" t="str">
        <f t="shared" si="41"/>
        <v>1+0.100333173808862i</v>
      </c>
      <c r="U183" s="138">
        <f t="shared" si="42"/>
        <v>14.59151187640577</v>
      </c>
      <c r="V183" s="132">
        <f t="shared" si="43"/>
        <v>103.28541918557396</v>
      </c>
      <c r="W183" s="132">
        <f t="shared" si="44"/>
        <v>59.406361739401319</v>
      </c>
      <c r="X183" s="138">
        <f t="shared" si="45"/>
        <v>-20.949320163818694</v>
      </c>
      <c r="Y183" s="128" t="str">
        <f t="shared" si="46"/>
        <v>872.202023304145-333.922119271825i</v>
      </c>
      <c r="Z183" s="128" t="str">
        <f t="shared" si="47"/>
        <v>-11551513.382881i</v>
      </c>
      <c r="AA183" s="128" t="str">
        <f t="shared" si="51"/>
        <v>64900-953668.528206596i</v>
      </c>
      <c r="AB183" s="128" t="str">
        <f t="shared" si="52"/>
        <v>5900-1748392.3017121i</v>
      </c>
      <c r="AC183" s="128" t="str">
        <f t="shared" si="53"/>
        <v>58359.1163911979-904546.268782887i</v>
      </c>
      <c r="AD183" s="128" t="str">
        <f t="shared" si="54"/>
        <v>109543.241331441-6890.36531361814i</v>
      </c>
      <c r="AE183" s="128" t="str">
        <f t="shared" si="55"/>
        <v>-1.51581280426572+7.92080273613687i</v>
      </c>
      <c r="AF183" s="130"/>
      <c r="AG183" s="130"/>
      <c r="AH183" s="130"/>
      <c r="AI183" s="130"/>
      <c r="AJ183" s="130"/>
      <c r="AK183" s="130"/>
      <c r="AL183" s="130"/>
      <c r="AM183" s="130"/>
      <c r="AN183" s="130"/>
      <c r="AO183" s="130"/>
      <c r="AP183" s="130"/>
      <c r="AQ183" s="130"/>
      <c r="AR183" s="130"/>
      <c r="AS183" s="130"/>
    </row>
    <row r="184" spans="1:45" s="166" customFormat="1" x14ac:dyDescent="0.2">
      <c r="A184" s="132">
        <f t="shared" si="48"/>
        <v>29.402000000000001</v>
      </c>
      <c r="B184" s="132">
        <f t="shared" si="49"/>
        <v>3.0800000000000023</v>
      </c>
      <c r="C184" s="146">
        <f t="shared" si="28"/>
        <v>1202.2644346174193</v>
      </c>
      <c r="D184" s="137">
        <f t="shared" si="29"/>
        <v>29.402017339865871</v>
      </c>
      <c r="E184" s="132">
        <f t="shared" si="30"/>
        <v>100.75087395744816</v>
      </c>
      <c r="G184" s="146"/>
      <c r="H184" s="184" t="str">
        <f t="shared" si="31"/>
        <v>0.5-0.60172416207157i</v>
      </c>
      <c r="I184" s="132" t="str">
        <f t="shared" si="32"/>
        <v>0.01-3.00862081035784i</v>
      </c>
      <c r="J184" s="132" t="str">
        <f t="shared" si="33"/>
        <v>0.340893246131891-0.548206724494559i</v>
      </c>
      <c r="K184" s="132"/>
      <c r="L184" s="132" t="str">
        <f t="shared" si="34"/>
        <v>0.375284970966546-0.319829179206651i</v>
      </c>
      <c r="M184" s="132" t="str">
        <f t="shared" si="35"/>
        <v>0.009+0.024928365762078i</v>
      </c>
      <c r="N184" s="132" t="str">
        <f t="shared" si="36"/>
        <v>1.01659055105598-0.0521378671400572i</v>
      </c>
      <c r="O184" s="185">
        <f t="shared" si="37"/>
        <v>0.15432986411843644</v>
      </c>
      <c r="P184" s="185">
        <f t="shared" si="38"/>
        <v>-2.9359555433290434</v>
      </c>
      <c r="Q184" s="132">
        <f t="shared" si="39"/>
        <v>7554.0502309327412</v>
      </c>
      <c r="R184" s="132">
        <f t="shared" si="50"/>
        <v>3.0800000000000018</v>
      </c>
      <c r="S184" s="164">
        <f t="shared" si="40"/>
        <v>15.201283603495453</v>
      </c>
      <c r="T184" s="132" t="str">
        <f t="shared" si="41"/>
        <v>1+0.105061730611813i</v>
      </c>
      <c r="U184" s="138">
        <f t="shared" si="42"/>
        <v>14.20073373637042</v>
      </c>
      <c r="V184" s="132">
        <f t="shared" si="43"/>
        <v>103.68682950077721</v>
      </c>
      <c r="W184" s="132">
        <f t="shared" si="44"/>
        <v>59.35315773925695</v>
      </c>
      <c r="X184" s="138">
        <f t="shared" si="45"/>
        <v>-21.845570588506284</v>
      </c>
      <c r="Y184" s="128" t="str">
        <f t="shared" si="46"/>
        <v>861.578491236926-345.401952323555i</v>
      </c>
      <c r="Z184" s="128" t="str">
        <f t="shared" si="47"/>
        <v>-11031609.6379788i</v>
      </c>
      <c r="AA184" s="128" t="str">
        <f t="shared" si="51"/>
        <v>64900-910746.373959272i</v>
      </c>
      <c r="AB184" s="128" t="str">
        <f t="shared" si="52"/>
        <v>5900-1669701.68559201i</v>
      </c>
      <c r="AC184" s="128" t="str">
        <f t="shared" si="53"/>
        <v>58359.0466301497-863853.906996032i</v>
      </c>
      <c r="AD184" s="128" t="str">
        <f t="shared" si="54"/>
        <v>109499.385387815-7212.05402759003i</v>
      </c>
      <c r="AE184" s="128" t="str">
        <f t="shared" si="55"/>
        <v>-1.47169330947954+7.56443014749938i</v>
      </c>
      <c r="AF184" s="130"/>
      <c r="AG184" s="130"/>
      <c r="AH184" s="130"/>
      <c r="AI184" s="130"/>
      <c r="AJ184" s="130"/>
      <c r="AK184" s="130"/>
      <c r="AL184" s="130"/>
      <c r="AM184" s="130"/>
      <c r="AN184" s="130"/>
      <c r="AO184" s="130"/>
      <c r="AP184" s="130"/>
      <c r="AQ184" s="130"/>
      <c r="AR184" s="130"/>
      <c r="AS184" s="130"/>
    </row>
    <row r="185" spans="1:45" s="166" customFormat="1" x14ac:dyDescent="0.2">
      <c r="A185" s="132">
        <f t="shared" si="48"/>
        <v>29.026</v>
      </c>
      <c r="B185" s="132">
        <f t="shared" si="49"/>
        <v>3.1000000000000023</v>
      </c>
      <c r="C185" s="146">
        <f t="shared" si="28"/>
        <v>1258.9254117941734</v>
      </c>
      <c r="D185" s="137">
        <f t="shared" si="29"/>
        <v>29.025879538526699</v>
      </c>
      <c r="E185" s="132">
        <f t="shared" si="30"/>
        <v>100.98899696513801</v>
      </c>
      <c r="G185" s="146"/>
      <c r="H185" s="184" t="str">
        <f t="shared" si="31"/>
        <v>0.5-0.574642113608308i</v>
      </c>
      <c r="I185" s="132" t="str">
        <f t="shared" si="32"/>
        <v>0.01-2.87321056804155i</v>
      </c>
      <c r="J185" s="132" t="str">
        <f t="shared" si="33"/>
        <v>0.340269486167103-0.527750283905874i</v>
      </c>
      <c r="K185" s="132"/>
      <c r="L185" s="132" t="str">
        <f t="shared" si="34"/>
        <v>0.36815548977524-0.31019588013624i</v>
      </c>
      <c r="M185" s="132" t="str">
        <f t="shared" si="35"/>
        <v>0.009+0.0261032034457265i</v>
      </c>
      <c r="N185" s="132" t="str">
        <f t="shared" si="36"/>
        <v>1.01803651458282-0.0556247020353011i</v>
      </c>
      <c r="O185" s="185">
        <f t="shared" si="37"/>
        <v>0.16821340373302821</v>
      </c>
      <c r="P185" s="185">
        <f t="shared" si="38"/>
        <v>-3.127485793989647</v>
      </c>
      <c r="Q185" s="132">
        <f t="shared" si="39"/>
        <v>7910.061650220161</v>
      </c>
      <c r="R185" s="132">
        <f t="shared" si="50"/>
        <v>3.1000000000000019</v>
      </c>
      <c r="S185" s="164">
        <f t="shared" si="40"/>
        <v>15.215167143110044</v>
      </c>
      <c r="T185" s="132" t="str">
        <f t="shared" si="41"/>
        <v>1+0.110013137431262i</v>
      </c>
      <c r="U185" s="138">
        <f t="shared" si="42"/>
        <v>13.810712395416655</v>
      </c>
      <c r="V185" s="132">
        <f t="shared" si="43"/>
        <v>104.11648275912766</v>
      </c>
      <c r="W185" s="132">
        <f t="shared" si="44"/>
        <v>59.295560224548097</v>
      </c>
      <c r="X185" s="138">
        <f t="shared" si="45"/>
        <v>-22.772170909692882</v>
      </c>
      <c r="Y185" s="128" t="str">
        <f t="shared" si="46"/>
        <v>850.223448245953-356.915194105883i</v>
      </c>
      <c r="Z185" s="128" t="str">
        <f t="shared" si="47"/>
        <v>-10535105.4161523i</v>
      </c>
      <c r="AA185" s="128" t="str">
        <f t="shared" si="51"/>
        <v>64900-869756.03487701i</v>
      </c>
      <c r="AB185" s="128" t="str">
        <f t="shared" si="52"/>
        <v>5900-1594552.73060786i</v>
      </c>
      <c r="AC185" s="128" t="str">
        <f t="shared" si="53"/>
        <v>58358.9701388736-824993.895115159i</v>
      </c>
      <c r="AD185" s="128" t="str">
        <f t="shared" si="54"/>
        <v>109451.340817495-7548.45554474659i</v>
      </c>
      <c r="AE185" s="128" t="str">
        <f t="shared" si="55"/>
        <v>-1.43143332249431+7.22363384167851i</v>
      </c>
      <c r="AF185" s="130"/>
      <c r="AG185" s="130"/>
      <c r="AH185" s="130"/>
      <c r="AI185" s="130"/>
      <c r="AJ185" s="130"/>
      <c r="AK185" s="130"/>
      <c r="AL185" s="130"/>
      <c r="AM185" s="130"/>
      <c r="AN185" s="130"/>
      <c r="AO185" s="130"/>
      <c r="AP185" s="130"/>
      <c r="AQ185" s="130"/>
      <c r="AR185" s="130"/>
      <c r="AS185" s="130"/>
    </row>
    <row r="186" spans="1:45" s="166" customFormat="1" x14ac:dyDescent="0.2">
      <c r="A186" s="132">
        <f t="shared" si="48"/>
        <v>28.651</v>
      </c>
      <c r="B186" s="132">
        <f t="shared" si="49"/>
        <v>3.1200000000000019</v>
      </c>
      <c r="C186" s="146">
        <f t="shared" si="28"/>
        <v>1318.2567385564134</v>
      </c>
      <c r="D186" s="137">
        <f t="shared" si="29"/>
        <v>28.651190838277685</v>
      </c>
      <c r="E186" s="132">
        <f t="shared" si="30"/>
        <v>101.24353645127978</v>
      </c>
      <c r="G186" s="146"/>
      <c r="H186" s="184" t="str">
        <f t="shared" si="31"/>
        <v>0.5-0.548778958111623i</v>
      </c>
      <c r="I186" s="132" t="str">
        <f t="shared" si="32"/>
        <v>0.01-2.74389479055812i</v>
      </c>
      <c r="J186" s="132" t="str">
        <f t="shared" si="33"/>
        <v>0.339588242743051-0.50839586788872i</v>
      </c>
      <c r="K186" s="132"/>
      <c r="L186" s="132" t="str">
        <f t="shared" si="34"/>
        <v>0.361510395724365-0.3009050565245i</v>
      </c>
      <c r="M186" s="132" t="str">
        <f t="shared" si="35"/>
        <v>0.009+0.0273334095236008i</v>
      </c>
      <c r="N186" s="132" t="str">
        <f t="shared" si="36"/>
        <v>1.0195316991848-0.0593508054366373i</v>
      </c>
      <c r="O186" s="185">
        <f t="shared" si="37"/>
        <v>0.18270735470328991</v>
      </c>
      <c r="P186" s="185">
        <f t="shared" si="38"/>
        <v>-3.3316444629111701</v>
      </c>
      <c r="Q186" s="132">
        <f t="shared" si="39"/>
        <v>8282.8513707881375</v>
      </c>
      <c r="R186" s="132">
        <f t="shared" si="50"/>
        <v>3.1200000000000019</v>
      </c>
      <c r="S186" s="164">
        <f t="shared" si="40"/>
        <v>15.229661094080306</v>
      </c>
      <c r="T186" s="132" t="str">
        <f t="shared" si="41"/>
        <v>1+0.115197896864921i</v>
      </c>
      <c r="U186" s="138">
        <f t="shared" si="42"/>
        <v>13.421529744197381</v>
      </c>
      <c r="V186" s="132">
        <f t="shared" si="43"/>
        <v>104.57518091419095</v>
      </c>
      <c r="W186" s="132">
        <f t="shared" si="44"/>
        <v>59.233271577480117</v>
      </c>
      <c r="X186" s="138">
        <f t="shared" si="45"/>
        <v>-23.729147939828575</v>
      </c>
      <c r="Y186" s="128" t="str">
        <f t="shared" si="46"/>
        <v>838.111885933212-368.414039436792i</v>
      </c>
      <c r="Z186" s="128" t="str">
        <f t="shared" si="47"/>
        <v>-10060947.5653798i</v>
      </c>
      <c r="AA186" s="128" t="str">
        <f t="shared" si="51"/>
        <v>64900-830610.564954951i</v>
      </c>
      <c r="AB186" s="128" t="str">
        <f t="shared" si="52"/>
        <v>5900-1522786.03575074i</v>
      </c>
      <c r="AC186" s="128" t="str">
        <f t="shared" si="53"/>
        <v>58358.886268087-787883.805837661i</v>
      </c>
      <c r="AD186" s="128" t="str">
        <f t="shared" si="54"/>
        <v>109398.712037663-7900.19769207702i</v>
      </c>
      <c r="AE186" s="128" t="str">
        <f t="shared" si="55"/>
        <v>-1.39469822472113+6.89775106075418i</v>
      </c>
      <c r="AF186" s="130"/>
      <c r="AG186" s="130"/>
      <c r="AH186" s="130"/>
      <c r="AI186" s="130"/>
      <c r="AJ186" s="130"/>
      <c r="AK186" s="130"/>
      <c r="AL186" s="130"/>
      <c r="AM186" s="130"/>
      <c r="AN186" s="130"/>
      <c r="AO186" s="130"/>
      <c r="AP186" s="130"/>
      <c r="AQ186" s="130"/>
      <c r="AR186" s="130"/>
      <c r="AS186" s="130"/>
    </row>
    <row r="187" spans="1:45" s="166" customFormat="1" x14ac:dyDescent="0.2">
      <c r="A187" s="132">
        <f t="shared" si="48"/>
        <v>28.277999999999999</v>
      </c>
      <c r="B187" s="132">
        <f t="shared" si="49"/>
        <v>3.1400000000000019</v>
      </c>
      <c r="C187" s="146">
        <f t="shared" si="28"/>
        <v>1380.3842646028913</v>
      </c>
      <c r="D187" s="137">
        <f t="shared" si="29"/>
        <v>28.278049419889797</v>
      </c>
      <c r="E187" s="132">
        <f t="shared" si="30"/>
        <v>101.51471256631484</v>
      </c>
      <c r="G187" s="146"/>
      <c r="H187" s="184" t="str">
        <f t="shared" si="31"/>
        <v>0.5-0.524079836361169i</v>
      </c>
      <c r="I187" s="132" t="str">
        <f t="shared" si="32"/>
        <v>0.01-2.62039918180584i</v>
      </c>
      <c r="J187" s="132" t="str">
        <f t="shared" si="33"/>
        <v>0.338844495163837-0.490099968240098i</v>
      </c>
      <c r="K187" s="132"/>
      <c r="L187" s="132" t="str">
        <f t="shared" si="34"/>
        <v>0.355313695294341-0.291970565312453i</v>
      </c>
      <c r="M187" s="132" t="str">
        <f t="shared" si="35"/>
        <v>0.009+0.0286215934277288i</v>
      </c>
      <c r="N187" s="132" t="str">
        <f t="shared" si="36"/>
        <v>1.02107434687331-0.06332917522318i</v>
      </c>
      <c r="O187" s="185">
        <f t="shared" si="37"/>
        <v>0.19782143861497017</v>
      </c>
      <c r="P187" s="185">
        <f t="shared" si="38"/>
        <v>-3.5490584544428132</v>
      </c>
      <c r="Q187" s="132">
        <f t="shared" si="39"/>
        <v>8673.2101296147848</v>
      </c>
      <c r="R187" s="132">
        <f t="shared" si="50"/>
        <v>3.1400000000000019</v>
      </c>
      <c r="S187" s="164">
        <f t="shared" si="40"/>
        <v>15.244775177991986</v>
      </c>
      <c r="T187" s="132" t="str">
        <f t="shared" si="41"/>
        <v>1+0.120627006482682i</v>
      </c>
      <c r="U187" s="138">
        <f t="shared" si="42"/>
        <v>13.033274241897812</v>
      </c>
      <c r="V187" s="132">
        <f t="shared" si="43"/>
        <v>105.06377102075766</v>
      </c>
      <c r="W187" s="132">
        <f t="shared" si="44"/>
        <v>59.165984834232873</v>
      </c>
      <c r="X187" s="138">
        <f t="shared" si="45"/>
        <v>-24.716396160484276</v>
      </c>
      <c r="Y187" s="128" t="str">
        <f t="shared" si="46"/>
        <v>825.222191253264-379.845947626204i</v>
      </c>
      <c r="Z187" s="128" t="str">
        <f t="shared" si="47"/>
        <v>-9608130.33328813i</v>
      </c>
      <c r="AA187" s="128" t="str">
        <f t="shared" si="51"/>
        <v>64900-793226.931403055i</v>
      </c>
      <c r="AB187" s="128" t="str">
        <f t="shared" si="52"/>
        <v>5900-1454249.37423893i</v>
      </c>
      <c r="AC187" s="128" t="str">
        <f t="shared" si="53"/>
        <v>58358.7943058756-752444.923680295i</v>
      </c>
      <c r="AD187" s="128" t="str">
        <f t="shared" si="54"/>
        <v>109341.067002922-8267.9283750293i</v>
      </c>
      <c r="AE187" s="128" t="str">
        <f t="shared" si="55"/>
        <v>-1.36118212493624+6.58614300502914i</v>
      </c>
      <c r="AF187" s="130"/>
      <c r="AG187" s="130"/>
      <c r="AH187" s="130"/>
      <c r="AI187" s="130"/>
      <c r="AJ187" s="130"/>
      <c r="AK187" s="130"/>
      <c r="AL187" s="130"/>
      <c r="AM187" s="130"/>
      <c r="AN187" s="130"/>
      <c r="AO187" s="130"/>
      <c r="AP187" s="130"/>
      <c r="AQ187" s="130"/>
      <c r="AR187" s="130"/>
      <c r="AS187" s="130"/>
    </row>
    <row r="188" spans="1:45" s="166" customFormat="1" x14ac:dyDescent="0.2">
      <c r="A188" s="132">
        <f t="shared" si="48"/>
        <v>27.907</v>
      </c>
      <c r="B188" s="132">
        <f t="shared" si="49"/>
        <v>3.1600000000000024</v>
      </c>
      <c r="C188" s="146">
        <f t="shared" si="28"/>
        <v>1445.4397707459352</v>
      </c>
      <c r="D188" s="137">
        <f t="shared" si="29"/>
        <v>27.906563451781043</v>
      </c>
      <c r="E188" s="132">
        <f t="shared" si="30"/>
        <v>101.8027813758837</v>
      </c>
      <c r="G188" s="146"/>
      <c r="H188" s="184" t="str">
        <f t="shared" si="31"/>
        <v>0.5-0.500492358208242i</v>
      </c>
      <c r="I188" s="132" t="str">
        <f t="shared" si="32"/>
        <v>0.01-2.50246179104122i</v>
      </c>
      <c r="J188" s="132" t="str">
        <f t="shared" si="33"/>
        <v>0.33803283842178-0.472820988983205i</v>
      </c>
      <c r="K188" s="132"/>
      <c r="L188" s="132" t="str">
        <f t="shared" si="34"/>
        <v>0.349530270409845-0.28340333483648i</v>
      </c>
      <c r="M188" s="132" t="str">
        <f t="shared" si="35"/>
        <v>0.009+0.0299704875688808i</v>
      </c>
      <c r="N188" s="132" t="str">
        <f t="shared" si="36"/>
        <v>1.02266267857221-0.0675731518678185i</v>
      </c>
      <c r="O188" s="185">
        <f t="shared" si="37"/>
        <v>0.21356815500650037</v>
      </c>
      <c r="P188" s="185">
        <f t="shared" si="38"/>
        <v>-3.7803634156911352</v>
      </c>
      <c r="Q188" s="132">
        <f t="shared" si="39"/>
        <v>9081.9659299638897</v>
      </c>
      <c r="R188" s="132">
        <f t="shared" si="50"/>
        <v>3.1600000000000019</v>
      </c>
      <c r="S188" s="164">
        <f t="shared" si="40"/>
        <v>15.260521894383519</v>
      </c>
      <c r="T188" s="132" t="str">
        <f t="shared" si="41"/>
        <v>1+0.126311982153938i</v>
      </c>
      <c r="U188" s="138">
        <f t="shared" si="42"/>
        <v>12.646041557397524</v>
      </c>
      <c r="V188" s="132">
        <f t="shared" si="43"/>
        <v>105.58314479157484</v>
      </c>
      <c r="W188" s="132">
        <f t="shared" si="44"/>
        <v>59.093385192468773</v>
      </c>
      <c r="X188" s="138">
        <f t="shared" si="45"/>
        <v>-25.733665391277896</v>
      </c>
      <c r="Y188" s="128" t="str">
        <f t="shared" si="46"/>
        <v>811.536901616143-391.15378164869i</v>
      </c>
      <c r="Z188" s="128" t="str">
        <f t="shared" si="47"/>
        <v>-9175693.23381776i</v>
      </c>
      <c r="AA188" s="128" t="str">
        <f t="shared" si="51"/>
        <v>64900-757525.838522449i</v>
      </c>
      <c r="AB188" s="128" t="str">
        <f t="shared" si="52"/>
        <v>5900-1388797.37062449i</v>
      </c>
      <c r="AC188" s="128" t="str">
        <f t="shared" si="53"/>
        <v>58358.6934716493-718602.078012931i</v>
      </c>
      <c r="AD188" s="128" t="str">
        <f t="shared" si="54"/>
        <v>109277.934024759-8652.31516680239i</v>
      </c>
      <c r="AE188" s="128" t="str">
        <f t="shared" si="55"/>
        <v>-1.33060546192853+6.28819445211623i</v>
      </c>
      <c r="AF188" s="130"/>
      <c r="AG188" s="130"/>
      <c r="AH188" s="130"/>
      <c r="AI188" s="130"/>
      <c r="AJ188" s="130"/>
      <c r="AK188" s="130"/>
      <c r="AL188" s="130"/>
      <c r="AM188" s="130"/>
      <c r="AN188" s="130"/>
      <c r="AO188" s="130"/>
      <c r="AP188" s="130"/>
      <c r="AQ188" s="130"/>
      <c r="AR188" s="130"/>
      <c r="AS188" s="130"/>
    </row>
    <row r="189" spans="1:45" s="166" customFormat="1" x14ac:dyDescent="0.2">
      <c r="A189" s="132">
        <f t="shared" si="48"/>
        <v>27.536999999999999</v>
      </c>
      <c r="B189" s="132">
        <f t="shared" si="49"/>
        <v>3.1800000000000024</v>
      </c>
      <c r="C189" s="146">
        <f t="shared" si="28"/>
        <v>1513.5612484362159</v>
      </c>
      <c r="D189" s="137">
        <f t="shared" si="29"/>
        <v>27.536852795361163</v>
      </c>
      <c r="E189" s="132">
        <f t="shared" si="30"/>
        <v>102.10803237508433</v>
      </c>
      <c r="G189" s="146"/>
      <c r="H189" s="184" t="str">
        <f t="shared" si="31"/>
        <v>0.5-0.477966491449257i</v>
      </c>
      <c r="I189" s="132" t="str">
        <f t="shared" si="32"/>
        <v>0.01-2.38983245724629i</v>
      </c>
      <c r="J189" s="132" t="str">
        <f t="shared" si="33"/>
        <v>0.337147464500841-0.456519116248545i</v>
      </c>
      <c r="K189" s="132"/>
      <c r="L189" s="132" t="str">
        <f t="shared" si="34"/>
        <v>0.344126003504428-0.275211653707875i</v>
      </c>
      <c r="M189" s="132" t="str">
        <f t="shared" si="35"/>
        <v>0.009+0.0313829531323797i</v>
      </c>
      <c r="N189" s="132" t="str">
        <f t="shared" si="36"/>
        <v>1.024294980724-0.0720964734946818i</v>
      </c>
      <c r="O189" s="185">
        <f t="shared" si="37"/>
        <v>0.22996380531820873</v>
      </c>
      <c r="P189" s="185">
        <f t="shared" si="38"/>
        <v>-4.0262055574037685</v>
      </c>
      <c r="Q189" s="132">
        <f t="shared" si="39"/>
        <v>9509.9857976908243</v>
      </c>
      <c r="R189" s="132">
        <f t="shared" si="50"/>
        <v>3.1800000000000019</v>
      </c>
      <c r="S189" s="164">
        <f t="shared" si="40"/>
        <v>15.276917544695225</v>
      </c>
      <c r="T189" s="132" t="str">
        <f t="shared" si="41"/>
        <v>1+0.132264882474284i</v>
      </c>
      <c r="U189" s="138">
        <f t="shared" si="42"/>
        <v>12.259935250665936</v>
      </c>
      <c r="V189" s="132">
        <f t="shared" si="43"/>
        <v>106.13423793248811</v>
      </c>
      <c r="W189" s="132">
        <f t="shared" si="44"/>
        <v>59.015151826909722</v>
      </c>
      <c r="X189" s="138">
        <f t="shared" si="45"/>
        <v>-26.780548982243619</v>
      </c>
      <c r="Y189" s="128" t="str">
        <f t="shared" si="46"/>
        <v>797.043487737258-402.276068240563i</v>
      </c>
      <c r="Z189" s="128" t="str">
        <f t="shared" si="47"/>
        <v>-8762719.00990303i</v>
      </c>
      <c r="AA189" s="128" t="str">
        <f t="shared" si="51"/>
        <v>64900-723431.559508609i</v>
      </c>
      <c r="AB189" s="128" t="str">
        <f t="shared" si="52"/>
        <v>5900-1326291.19243245i</v>
      </c>
      <c r="AC189" s="128" t="str">
        <f t="shared" si="53"/>
        <v>58358.5829095188-686283.483611375i</v>
      </c>
      <c r="AD189" s="128" t="str">
        <f t="shared" si="54"/>
        <v>109208.798350161-9054.04469041234i</v>
      </c>
      <c r="AE189" s="128" t="str">
        <f t="shared" si="55"/>
        <v>-1.30271279754467+6.00331330373572i</v>
      </c>
      <c r="AF189" s="130"/>
      <c r="AG189" s="130"/>
      <c r="AH189" s="130"/>
      <c r="AI189" s="130"/>
      <c r="AJ189" s="130"/>
      <c r="AK189" s="130"/>
      <c r="AL189" s="130"/>
      <c r="AM189" s="130"/>
      <c r="AN189" s="130"/>
      <c r="AO189" s="130"/>
      <c r="AP189" s="130"/>
      <c r="AQ189" s="130"/>
      <c r="AR189" s="130"/>
      <c r="AS189" s="130"/>
    </row>
    <row r="190" spans="1:45" s="166" customFormat="1" x14ac:dyDescent="0.2">
      <c r="A190" s="132">
        <f t="shared" si="48"/>
        <v>27.169</v>
      </c>
      <c r="B190" s="132">
        <f t="shared" si="49"/>
        <v>3.200000000000002</v>
      </c>
      <c r="C190" s="146">
        <f t="shared" si="28"/>
        <v>1584.8931924611213</v>
      </c>
      <c r="D190" s="137">
        <f t="shared" si="29"/>
        <v>27.169050824646611</v>
      </c>
      <c r="E190" s="132">
        <f t="shared" si="30"/>
        <v>102.43078461233944</v>
      </c>
      <c r="G190" s="146"/>
      <c r="H190" s="184" t="str">
        <f t="shared" si="31"/>
        <v>0.5-0.456454455700718i</v>
      </c>
      <c r="I190" s="132" t="str">
        <f t="shared" si="32"/>
        <v>0.01-2.28227227850359i</v>
      </c>
      <c r="J190" s="132" t="str">
        <f t="shared" si="33"/>
        <v>0.336182145043518-0.441156187482286i</v>
      </c>
      <c r="K190" s="132"/>
      <c r="L190" s="132" t="str">
        <f t="shared" si="34"/>
        <v>0.339067862391199-0.267401443243211i</v>
      </c>
      <c r="M190" s="132" t="str">
        <f t="shared" si="35"/>
        <v>0.009+0.0328619861470582i</v>
      </c>
      <c r="N190" s="132" t="str">
        <f t="shared" si="36"/>
        <v>1.02596969681224-0.0769133564123039i</v>
      </c>
      <c r="O190" s="185">
        <f t="shared" si="37"/>
        <v>0.24702958907548034</v>
      </c>
      <c r="P190" s="185">
        <f t="shared" si="38"/>
        <v>-4.2872446037510468</v>
      </c>
      <c r="Q190" s="132">
        <f t="shared" si="39"/>
        <v>9958.1776203206664</v>
      </c>
      <c r="R190" s="132">
        <f t="shared" si="50"/>
        <v>3.200000000000002</v>
      </c>
      <c r="S190" s="164">
        <f t="shared" si="40"/>
        <v>15.293983328452498</v>
      </c>
      <c r="T190" s="132" t="str">
        <f t="shared" si="41"/>
        <v>1+0.13849833434342i</v>
      </c>
      <c r="U190" s="138">
        <f t="shared" si="42"/>
        <v>11.875067496194113</v>
      </c>
      <c r="V190" s="132">
        <f t="shared" si="43"/>
        <v>106.71802921609049</v>
      </c>
      <c r="W190" s="132">
        <f t="shared" si="44"/>
        <v>58.93096002036468</v>
      </c>
      <c r="X190" s="138">
        <f t="shared" si="45"/>
        <v>-27.856472867023633</v>
      </c>
      <c r="Y190" s="128" t="str">
        <f t="shared" si="46"/>
        <v>781.735144935719-413.147392487342i</v>
      </c>
      <c r="Z190" s="128" t="str">
        <f t="shared" si="47"/>
        <v>-8368331.68784651i</v>
      </c>
      <c r="AA190" s="128" t="str">
        <f t="shared" si="51"/>
        <v>64900-690871.77582465i</v>
      </c>
      <c r="AB190" s="128" t="str">
        <f t="shared" si="52"/>
        <v>5900-1266598.25567852i</v>
      </c>
      <c r="AC190" s="128" t="str">
        <f t="shared" si="53"/>
        <v>58358.4616810351-655420.5883911i</v>
      </c>
      <c r="AD190" s="128" t="str">
        <f t="shared" si="54"/>
        <v>109133.098488828-9473.82175923414i</v>
      </c>
      <c r="AE190" s="128" t="str">
        <f t="shared" si="55"/>
        <v>-1.27727078686772+5.73093007436294i</v>
      </c>
      <c r="AF190" s="130"/>
      <c r="AG190" s="130"/>
      <c r="AH190" s="130"/>
      <c r="AI190" s="130"/>
      <c r="AJ190" s="130"/>
      <c r="AK190" s="130"/>
      <c r="AL190" s="130"/>
      <c r="AM190" s="130"/>
      <c r="AN190" s="130"/>
      <c r="AO190" s="130"/>
      <c r="AP190" s="130"/>
      <c r="AQ190" s="130"/>
      <c r="AR190" s="130"/>
      <c r="AS190" s="130"/>
    </row>
    <row r="191" spans="1:45" s="166" customFormat="1" x14ac:dyDescent="0.2">
      <c r="A191" s="132">
        <f t="shared" si="48"/>
        <v>26.803000000000001</v>
      </c>
      <c r="B191" s="132">
        <f t="shared" si="49"/>
        <v>3.2200000000000024</v>
      </c>
      <c r="C191" s="146">
        <f t="shared" si="28"/>
        <v>1659.5869074375701</v>
      </c>
      <c r="D191" s="137">
        <f t="shared" si="29"/>
        <v>26.803306341779148</v>
      </c>
      <c r="E191" s="132">
        <f t="shared" si="30"/>
        <v>102.77138128041874</v>
      </c>
      <c r="G191" s="146"/>
      <c r="H191" s="184" t="str">
        <f t="shared" si="31"/>
        <v>0.5-0.435910621050635i</v>
      </c>
      <c r="I191" s="132" t="str">
        <f t="shared" si="32"/>
        <v>0.01-2.17955310525318i</v>
      </c>
      <c r="J191" s="132" t="str">
        <f t="shared" si="33"/>
        <v>0.335130215995434-0.426695559436633i</v>
      </c>
      <c r="K191" s="132"/>
      <c r="L191" s="132" t="str">
        <f t="shared" si="34"/>
        <v>0.334323950643257-0.259976510457115i</v>
      </c>
      <c r="M191" s="132" t="str">
        <f t="shared" si="35"/>
        <v>0.009+0.0344107238402378i</v>
      </c>
      <c r="N191" s="132" t="str">
        <f t="shared" si="36"/>
        <v>1.02768552044035-0.0820386040398322i</v>
      </c>
      <c r="O191" s="185">
        <f t="shared" si="37"/>
        <v>0.26479275248491863</v>
      </c>
      <c r="P191" s="185">
        <f t="shared" si="38"/>
        <v>-4.5641579687304219</v>
      </c>
      <c r="Q191" s="132">
        <f t="shared" si="39"/>
        <v>10427.492072799349</v>
      </c>
      <c r="R191" s="132">
        <f t="shared" si="50"/>
        <v>3.220000000000002</v>
      </c>
      <c r="S191" s="164">
        <f t="shared" si="40"/>
        <v>15.311746491861935</v>
      </c>
      <c r="T191" s="132" t="str">
        <f t="shared" si="41"/>
        <v>1+0.145025559748493i</v>
      </c>
      <c r="U191" s="138">
        <f t="shared" si="42"/>
        <v>11.491559849917213</v>
      </c>
      <c r="V191" s="132">
        <f t="shared" si="43"/>
        <v>107.33553924914916</v>
      </c>
      <c r="W191" s="132">
        <f t="shared" si="44"/>
        <v>58.840483609011258</v>
      </c>
      <c r="X191" s="138">
        <f t="shared" si="45"/>
        <v>-28.960685846461548</v>
      </c>
      <c r="Y191" s="128" t="str">
        <f t="shared" si="46"/>
        <v>765.611569304877-423.698937553208i</v>
      </c>
      <c r="Z191" s="128" t="str">
        <f t="shared" si="47"/>
        <v>-7991694.71926167i</v>
      </c>
      <c r="AA191" s="128" t="str">
        <f t="shared" si="51"/>
        <v>64900-659777.423804003i</v>
      </c>
      <c r="AB191" s="128" t="str">
        <f t="shared" si="52"/>
        <v>5900-1209591.94364067i</v>
      </c>
      <c r="AC191" s="128" t="str">
        <f t="shared" si="53"/>
        <v>58358.3287572246-625947.927998787i</v>
      </c>
      <c r="AD191" s="128" t="str">
        <f t="shared" si="54"/>
        <v>109050.222279719-9912.36823728488i</v>
      </c>
      <c r="AE191" s="128" t="str">
        <f t="shared" si="55"/>
        <v>-1.25406631287185+5.47049733393183i</v>
      </c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</row>
    <row r="192" spans="1:45" s="166" customFormat="1" x14ac:dyDescent="0.2">
      <c r="A192" s="132">
        <f t="shared" si="48"/>
        <v>26.44</v>
      </c>
      <c r="B192" s="132">
        <f t="shared" si="49"/>
        <v>3.2400000000000024</v>
      </c>
      <c r="C192" s="146">
        <f t="shared" si="28"/>
        <v>1737.8008287493849</v>
      </c>
      <c r="D192" s="137">
        <f t="shared" si="29"/>
        <v>26.439785568970645</v>
      </c>
      <c r="E192" s="132">
        <f t="shared" si="30"/>
        <v>103.13018265250822</v>
      </c>
      <c r="G192" s="146"/>
      <c r="H192" s="184" t="str">
        <f t="shared" si="31"/>
        <v>0.5-0.416291411271357i</v>
      </c>
      <c r="I192" s="132" t="str">
        <f t="shared" si="32"/>
        <v>0.01-2.08145705635679i</v>
      </c>
      <c r="J192" s="132" t="str">
        <f t="shared" si="33"/>
        <v>0.333984564955609-0.413101974434867i</v>
      </c>
      <c r="K192" s="132"/>
      <c r="L192" s="132" t="str">
        <f t="shared" si="34"/>
        <v>0.329863528898395-0.252938779561493i</v>
      </c>
      <c r="M192" s="132" t="str">
        <f t="shared" si="35"/>
        <v>0.009+0.0360324512922087i</v>
      </c>
      <c r="N192" s="132" t="str">
        <f t="shared" si="36"/>
        <v>1.02944148624371-0.0874877467890146i</v>
      </c>
      <c r="O192" s="185">
        <f t="shared" si="37"/>
        <v>0.28328776896837116</v>
      </c>
      <c r="P192" s="185">
        <f t="shared" si="38"/>
        <v>-4.857646231432005</v>
      </c>
      <c r="Q192" s="132">
        <f t="shared" si="39"/>
        <v>10918.924634002644</v>
      </c>
      <c r="R192" s="132">
        <f t="shared" si="50"/>
        <v>3.240000000000002</v>
      </c>
      <c r="S192" s="164">
        <f t="shared" si="40"/>
        <v>15.330241508345388</v>
      </c>
      <c r="T192" s="132" t="str">
        <f t="shared" si="41"/>
        <v>1+0.151860403809709i</v>
      </c>
      <c r="U192" s="138">
        <f t="shared" si="42"/>
        <v>11.109544060625257</v>
      </c>
      <c r="V192" s="132">
        <f t="shared" si="43"/>
        <v>107.98782888394022</v>
      </c>
      <c r="W192" s="132">
        <f t="shared" si="44"/>
        <v>58.743397730502224</v>
      </c>
      <c r="X192" s="138">
        <f t="shared" si="45"/>
        <v>-30.092251495072375</v>
      </c>
      <c r="Y192" s="128" t="str">
        <f t="shared" si="46"/>
        <v>748.679691237111-433.859176044189i</v>
      </c>
      <c r="Z192" s="128" t="str">
        <f t="shared" si="47"/>
        <v>-7632009.20664153i</v>
      </c>
      <c r="AA192" s="128" t="str">
        <f t="shared" si="51"/>
        <v>64900-630082.548157147i</v>
      </c>
      <c r="AB192" s="128" t="str">
        <f t="shared" si="52"/>
        <v>5900-1155151.3382881i</v>
      </c>
      <c r="AC192" s="128" t="str">
        <f t="shared" si="53"/>
        <v>58358.183009861-597802.986953435i</v>
      </c>
      <c r="AD192" s="128" t="str">
        <f t="shared" si="54"/>
        <v>108959.502689579-10370.4215756486i</v>
      </c>
      <c r="AE192" s="128" t="str">
        <f t="shared" si="55"/>
        <v>-1.23290477354134+5.22148911510109i</v>
      </c>
      <c r="AF192" s="130"/>
      <c r="AG192" s="130"/>
      <c r="AH192" s="130"/>
      <c r="AI192" s="130"/>
      <c r="AJ192" s="130"/>
      <c r="AK192" s="130"/>
      <c r="AL192" s="130"/>
      <c r="AM192" s="130"/>
      <c r="AN192" s="130"/>
      <c r="AO192" s="130"/>
      <c r="AP192" s="130"/>
      <c r="AQ192" s="130"/>
      <c r="AR192" s="130"/>
      <c r="AS192" s="130"/>
    </row>
    <row r="193" spans="1:45" s="166" customFormat="1" x14ac:dyDescent="0.2">
      <c r="A193" s="132">
        <f t="shared" si="48"/>
        <v>26.079000000000001</v>
      </c>
      <c r="B193" s="132">
        <f t="shared" si="49"/>
        <v>3.2600000000000025</v>
      </c>
      <c r="C193" s="146">
        <f t="shared" si="28"/>
        <v>1819.700858609993</v>
      </c>
      <c r="D193" s="137">
        <f t="shared" si="29"/>
        <v>26.078674197546391</v>
      </c>
      <c r="E193" s="132">
        <f t="shared" si="30"/>
        <v>103.50755725947839</v>
      </c>
      <c r="G193" s="146"/>
      <c r="H193" s="184" t="str">
        <f t="shared" si="31"/>
        <v>0.5-0.397555211388547i</v>
      </c>
      <c r="I193" s="132" t="str">
        <f t="shared" si="32"/>
        <v>0.01-1.98777605694273i</v>
      </c>
      <c r="J193" s="132" t="str">
        <f t="shared" si="33"/>
        <v>0.332737622085306-0.400341424460731i</v>
      </c>
      <c r="K193" s="132"/>
      <c r="L193" s="132" t="str">
        <f t="shared" si="34"/>
        <v>0.325657012148612-0.246288500684893i</v>
      </c>
      <c r="M193" s="132" t="str">
        <f t="shared" si="35"/>
        <v>0.009+0.0377306084043253i</v>
      </c>
      <c r="N193" s="132" t="str">
        <f t="shared" si="36"/>
        <v>1.03123705467826-0.0932772151378435i</v>
      </c>
      <c r="O193" s="185">
        <f t="shared" si="37"/>
        <v>0.30255753188662637</v>
      </c>
      <c r="P193" s="185">
        <f t="shared" si="38"/>
        <v>-5.1684399586902821</v>
      </c>
      <c r="Q193" s="132">
        <f t="shared" si="39"/>
        <v>11433.517698280386</v>
      </c>
      <c r="R193" s="132">
        <f t="shared" si="50"/>
        <v>3.260000000000002</v>
      </c>
      <c r="S193" s="164">
        <f t="shared" si="40"/>
        <v>15.349511271263642</v>
      </c>
      <c r="T193" s="132" t="str">
        <f t="shared" si="41"/>
        <v>1+0.159017364147684i</v>
      </c>
      <c r="U193" s="138">
        <f t="shared" si="42"/>
        <v>10.729162926282751</v>
      </c>
      <c r="V193" s="132">
        <f t="shared" si="43"/>
        <v>108.67599721816867</v>
      </c>
      <c r="W193" s="132">
        <f t="shared" si="44"/>
        <v>58.639381851785366</v>
      </c>
      <c r="X193" s="138">
        <f t="shared" si="45"/>
        <v>-31.250042093104508</v>
      </c>
      <c r="Y193" s="128" t="str">
        <f t="shared" si="46"/>
        <v>730.954335539285-443.554714075013i</v>
      </c>
      <c r="Z193" s="128" t="str">
        <f t="shared" si="47"/>
        <v>-7288512.20879i</v>
      </c>
      <c r="AA193" s="128" t="str">
        <f t="shared" si="51"/>
        <v>64900-601724.16207157i</v>
      </c>
      <c r="AB193" s="128" t="str">
        <f t="shared" si="52"/>
        <v>5900-1103160.96379788i</v>
      </c>
      <c r="AC193" s="128" t="str">
        <f t="shared" si="53"/>
        <v>58358.0232018908-570926.066042262i</v>
      </c>
      <c r="AD193" s="128" t="str">
        <f t="shared" si="54"/>
        <v>108860.213338582-10848.7329761374i</v>
      </c>
      <c r="AE193" s="128" t="str">
        <f t="shared" si="55"/>
        <v>-1.21360851010705+4.98340029409207i</v>
      </c>
      <c r="AF193" s="130"/>
      <c r="AG193" s="130"/>
      <c r="AH193" s="130"/>
      <c r="AI193" s="130"/>
      <c r="AJ193" s="130"/>
      <c r="AK193" s="130"/>
      <c r="AL193" s="130"/>
      <c r="AM193" s="130"/>
      <c r="AN193" s="130"/>
      <c r="AO193" s="130"/>
      <c r="AP193" s="130"/>
      <c r="AQ193" s="130"/>
      <c r="AR193" s="130"/>
      <c r="AS193" s="130"/>
    </row>
    <row r="194" spans="1:45" s="166" customFormat="1" x14ac:dyDescent="0.2">
      <c r="A194" s="132">
        <f t="shared" si="48"/>
        <v>25.72</v>
      </c>
      <c r="B194" s="132">
        <f t="shared" si="49"/>
        <v>3.280000000000002</v>
      </c>
      <c r="C194" s="146">
        <f t="shared" si="28"/>
        <v>1905.4607179632569</v>
      </c>
      <c r="D194" s="137">
        <f t="shared" si="29"/>
        <v>25.720179476047939</v>
      </c>
      <c r="E194" s="132">
        <f t="shared" si="30"/>
        <v>103.90387121771271</v>
      </c>
      <c r="G194" s="146"/>
      <c r="H194" s="184" t="str">
        <f t="shared" si="31"/>
        <v>0.5-0.379662279410247i</v>
      </c>
      <c r="I194" s="132" t="str">
        <f t="shared" si="32"/>
        <v>0.01-1.89831139705123i</v>
      </c>
      <c r="J194" s="132" t="str">
        <f t="shared" si="33"/>
        <v>0.33138135556266-0.388381012701679i</v>
      </c>
      <c r="K194" s="132"/>
      <c r="L194" s="132" t="str">
        <f t="shared" si="34"/>
        <v>0.321675947689477-0.240024435148258i</v>
      </c>
      <c r="M194" s="132" t="str">
        <f t="shared" si="35"/>
        <v>0.009+0.0395087971954982i</v>
      </c>
      <c r="N194" s="132" t="str">
        <f t="shared" si="36"/>
        <v>1.03307218660996-0.0994245478954011i</v>
      </c>
      <c r="O194" s="185">
        <f t="shared" si="37"/>
        <v>0.32265454172243141</v>
      </c>
      <c r="P194" s="185">
        <f t="shared" si="38"/>
        <v>-5.4973079047578874</v>
      </c>
      <c r="Q194" s="132">
        <f t="shared" si="39"/>
        <v>11972.362786514601</v>
      </c>
      <c r="R194" s="132">
        <f t="shared" si="50"/>
        <v>3.280000000000002</v>
      </c>
      <c r="S194" s="164">
        <f t="shared" si="40"/>
        <v>15.369608281099447</v>
      </c>
      <c r="T194" s="132" t="str">
        <f t="shared" si="41"/>
        <v>1+0.166511621634845i</v>
      </c>
      <c r="U194" s="138">
        <f t="shared" si="42"/>
        <v>10.35057119494849</v>
      </c>
      <c r="V194" s="132">
        <f t="shared" si="43"/>
        <v>109.40117912247059</v>
      </c>
      <c r="W194" s="132">
        <f t="shared" si="44"/>
        <v>58.528123040749421</v>
      </c>
      <c r="X194" s="138">
        <f t="shared" si="45"/>
        <v>-32.432734981278152</v>
      </c>
      <c r="Y194" s="128" t="str">
        <f t="shared" si="46"/>
        <v>712.458775221371-452.711282515723i</v>
      </c>
      <c r="Z194" s="128" t="str">
        <f t="shared" si="47"/>
        <v>-6960475.1225212i</v>
      </c>
      <c r="AA194" s="128" t="str">
        <f t="shared" si="51"/>
        <v>64900-574642.113608308i</v>
      </c>
      <c r="AB194" s="128" t="str">
        <f t="shared" si="52"/>
        <v>5900-1053510.54161523i</v>
      </c>
      <c r="AC194" s="128" t="str">
        <f t="shared" si="53"/>
        <v>58357.8479769424-545260.155690354i</v>
      </c>
      <c r="AD194" s="128" t="str">
        <f t="shared" si="54"/>
        <v>108751.563751544-11348.0651275442i</v>
      </c>
      <c r="AE194" s="128" t="str">
        <f t="shared" si="55"/>
        <v>-1.19601536572507+4.75574595280251i</v>
      </c>
      <c r="AF194" s="130"/>
      <c r="AG194" s="130"/>
      <c r="AH194" s="130"/>
      <c r="AI194" s="130"/>
      <c r="AJ194" s="130"/>
      <c r="AK194" s="130"/>
      <c r="AL194" s="130"/>
      <c r="AM194" s="130"/>
      <c r="AN194" s="130"/>
      <c r="AO194" s="130"/>
      <c r="AP194" s="130"/>
      <c r="AQ194" s="130"/>
      <c r="AR194" s="130"/>
      <c r="AS194" s="130"/>
    </row>
    <row r="195" spans="1:45" s="166" customFormat="1" x14ac:dyDescent="0.2">
      <c r="A195" s="132">
        <f t="shared" si="48"/>
        <v>25.364999999999998</v>
      </c>
      <c r="B195" s="132">
        <f t="shared" si="49"/>
        <v>3.3000000000000025</v>
      </c>
      <c r="C195" s="146">
        <f t="shared" si="28"/>
        <v>1995.2623149688911</v>
      </c>
      <c r="D195" s="137">
        <f t="shared" si="29"/>
        <v>25.364532321563878</v>
      </c>
      <c r="E195" s="132">
        <f t="shared" si="30"/>
        <v>104.31947562225513</v>
      </c>
      <c r="G195" s="146"/>
      <c r="H195" s="184" t="str">
        <f t="shared" si="31"/>
        <v>0.5-0.362574662028784i</v>
      </c>
      <c r="I195" s="132" t="str">
        <f t="shared" si="32"/>
        <v>0.01-1.81287331014392i</v>
      </c>
      <c r="J195" s="132" t="str">
        <f t="shared" si="33"/>
        <v>0.329907272712453-0.377188812284151i</v>
      </c>
      <c r="K195" s="132"/>
      <c r="L195" s="132" t="str">
        <f t="shared" si="34"/>
        <v>0.317892978014682-0.234144017128292i</v>
      </c>
      <c r="M195" s="132" t="str">
        <f t="shared" si="35"/>
        <v>0.009+0.0413707894425595i</v>
      </c>
      <c r="N195" s="132" t="str">
        <f t="shared" si="36"/>
        <v>1.03494740359159-0.105948637573422i</v>
      </c>
      <c r="O195" s="185">
        <f t="shared" si="37"/>
        <v>0.34364207309256778</v>
      </c>
      <c r="P195" s="185">
        <f t="shared" si="38"/>
        <v>-5.8450666064054184</v>
      </c>
      <c r="Q195" s="132">
        <f t="shared" si="39"/>
        <v>12536.602861381665</v>
      </c>
      <c r="R195" s="132">
        <f t="shared" si="50"/>
        <v>3.300000000000002</v>
      </c>
      <c r="S195" s="164">
        <f t="shared" si="40"/>
        <v>15.390595812469584</v>
      </c>
      <c r="T195" s="132" t="str">
        <f t="shared" si="41"/>
        <v>1+0.174359072596096i</v>
      </c>
      <c r="U195" s="138">
        <f t="shared" si="42"/>
        <v>9.9739365090942957</v>
      </c>
      <c r="V195" s="132">
        <f t="shared" si="43"/>
        <v>110.16454222866055</v>
      </c>
      <c r="W195" s="132">
        <f t="shared" si="44"/>
        <v>58.409319432457558</v>
      </c>
      <c r="X195" s="138">
        <f t="shared" si="45"/>
        <v>-33.638811710930582</v>
      </c>
      <c r="Y195" s="128" t="str">
        <f t="shared" si="46"/>
        <v>693.225145378592-461.254862344466i</v>
      </c>
      <c r="Z195" s="128" t="str">
        <f t="shared" si="47"/>
        <v>-6647202.13719438i</v>
      </c>
      <c r="AA195" s="128" t="str">
        <f t="shared" si="51"/>
        <v>64900-548778.958111623i</v>
      </c>
      <c r="AB195" s="128" t="str">
        <f t="shared" si="52"/>
        <v>5900-1006094.75653798i</v>
      </c>
      <c r="AC195" s="128" t="str">
        <f t="shared" si="53"/>
        <v>58357.6558478164-520750.815035256i</v>
      </c>
      <c r="AD195" s="128" t="str">
        <f t="shared" si="54"/>
        <v>108632.694337444-11869.1894536864i</v>
      </c>
      <c r="AE195" s="128" t="str">
        <f t="shared" si="55"/>
        <v>-1.1799773645883+4.53806072874881i</v>
      </c>
      <c r="AF195" s="130"/>
      <c r="AG195" s="130"/>
      <c r="AH195" s="130"/>
      <c r="AI195" s="130"/>
      <c r="AJ195" s="130"/>
      <c r="AK195" s="130"/>
      <c r="AL195" s="130"/>
      <c r="AM195" s="130"/>
      <c r="AN195" s="130"/>
      <c r="AO195" s="130"/>
      <c r="AP195" s="130"/>
      <c r="AQ195" s="130"/>
      <c r="AR195" s="130"/>
      <c r="AS195" s="130"/>
    </row>
    <row r="196" spans="1:45" s="166" customFormat="1" x14ac:dyDescent="0.2">
      <c r="A196" s="132">
        <f t="shared" si="48"/>
        <v>25.012</v>
      </c>
      <c r="B196" s="132">
        <f t="shared" si="49"/>
        <v>3.3200000000000025</v>
      </c>
      <c r="C196" s="146">
        <f t="shared" si="28"/>
        <v>2089.2961308540512</v>
      </c>
      <c r="D196" s="137">
        <f t="shared" si="29"/>
        <v>25.011989441212663</v>
      </c>
      <c r="E196" s="132">
        <f t="shared" si="30"/>
        <v>104.75469191529916</v>
      </c>
      <c r="G196" s="146"/>
      <c r="H196" s="184" t="str">
        <f t="shared" si="31"/>
        <v>0.5-0.346256114116717i</v>
      </c>
      <c r="I196" s="132" t="str">
        <f t="shared" si="32"/>
        <v>0.01-1.73128057058358i</v>
      </c>
      <c r="J196" s="132" t="str">
        <f t="shared" si="33"/>
        <v>0.328306428086034-0.36673372208098i</v>
      </c>
      <c r="K196" s="132"/>
      <c r="L196" s="132" t="str">
        <f t="shared" si="34"/>
        <v>0.314281792565809-0.228643491927065i</v>
      </c>
      <c r="M196" s="132" t="str">
        <f t="shared" si="35"/>
        <v>0.009+0.0433205346807068i</v>
      </c>
      <c r="N196" s="132" t="str">
        <f t="shared" si="36"/>
        <v>1.03686382970069-0.112870014904167i</v>
      </c>
      <c r="O196" s="185">
        <f t="shared" si="37"/>
        <v>0.36559531080772312</v>
      </c>
      <c r="P196" s="185">
        <f t="shared" si="38"/>
        <v>-6.2125913906813057</v>
      </c>
      <c r="Q196" s="132">
        <f t="shared" si="39"/>
        <v>13127.434751729332</v>
      </c>
      <c r="R196" s="132">
        <f t="shared" si="50"/>
        <v>3.3200000000000021</v>
      </c>
      <c r="S196" s="164">
        <f t="shared" si="40"/>
        <v>15.41254905018474</v>
      </c>
      <c r="T196" s="132" t="str">
        <f t="shared" si="41"/>
        <v>1+0.182576362527052i</v>
      </c>
      <c r="U196" s="138">
        <f t="shared" si="42"/>
        <v>9.5994403910279225</v>
      </c>
      <c r="V196" s="132">
        <f t="shared" si="43"/>
        <v>110.96728330598047</v>
      </c>
      <c r="W196" s="132">
        <f t="shared" si="44"/>
        <v>58.282683827472894</v>
      </c>
      <c r="X196" s="138">
        <f t="shared" si="45"/>
        <v>-34.866560317148426</v>
      </c>
      <c r="Y196" s="128" t="str">
        <f t="shared" si="46"/>
        <v>673.294684778501-469.112922881405i</v>
      </c>
      <c r="Z196" s="128" t="str">
        <f t="shared" si="47"/>
        <v>-6348028.75880647i</v>
      </c>
      <c r="AA196" s="128" t="str">
        <f t="shared" si="51"/>
        <v>64900-524079.836361169i</v>
      </c>
      <c r="AB196" s="128" t="str">
        <f t="shared" si="52"/>
        <v>5900-960813.033328813i</v>
      </c>
      <c r="AC196" s="128" t="str">
        <f t="shared" si="53"/>
        <v>58357.4451838728-497346.056450118i</v>
      </c>
      <c r="AD196" s="128" t="str">
        <f t="shared" si="54"/>
        <v>108502.671105302-12412.8828059132i</v>
      </c>
      <c r="AE196" s="128" t="str">
        <f t="shared" si="55"/>
        <v>-1.16535950211659+4.32989815839414i</v>
      </c>
      <c r="AF196" s="130"/>
      <c r="AG196" s="130"/>
      <c r="AH196" s="130"/>
      <c r="AI196" s="130"/>
      <c r="AJ196" s="130"/>
      <c r="AK196" s="130"/>
      <c r="AL196" s="130"/>
      <c r="AM196" s="130"/>
      <c r="AN196" s="130"/>
      <c r="AO196" s="130"/>
      <c r="AP196" s="130"/>
      <c r="AQ196" s="130"/>
      <c r="AR196" s="130"/>
      <c r="AS196" s="130"/>
    </row>
    <row r="197" spans="1:45" s="166" customFormat="1" x14ac:dyDescent="0.2">
      <c r="A197" s="132">
        <f t="shared" si="48"/>
        <v>24.663</v>
      </c>
      <c r="B197" s="132">
        <f t="shared" si="49"/>
        <v>3.3400000000000025</v>
      </c>
      <c r="C197" s="146">
        <f t="shared" si="28"/>
        <v>2187.7616239495642</v>
      </c>
      <c r="D197" s="137">
        <f t="shared" si="29"/>
        <v>24.662835453583085</v>
      </c>
      <c r="E197" s="132">
        <f t="shared" si="30"/>
        <v>105.20979512360356</v>
      </c>
      <c r="G197" s="146"/>
      <c r="H197" s="184" t="str">
        <f t="shared" si="31"/>
        <v>0.5-0.330672021846056i</v>
      </c>
      <c r="I197" s="132" t="str">
        <f t="shared" si="32"/>
        <v>0.01-1.65336010923028i</v>
      </c>
      <c r="J197" s="132" t="str">
        <f t="shared" si="33"/>
        <v>0.32656943991087-0.35698531965261i</v>
      </c>
      <c r="K197" s="132"/>
      <c r="L197" s="132" t="str">
        <f t="shared" si="34"/>
        <v>0.310817071900912-0.223518031367062i</v>
      </c>
      <c r="M197" s="132" t="str">
        <f t="shared" si="35"/>
        <v>0.009+0.0453621685809971i</v>
      </c>
      <c r="N197" s="132" t="str">
        <f t="shared" si="36"/>
        <v>1.03882321075265-0.12021117492172i</v>
      </c>
      <c r="O197" s="185">
        <f t="shared" si="37"/>
        <v>0.38860244839775154</v>
      </c>
      <c r="P197" s="185">
        <f t="shared" si="38"/>
        <v>-6.6008288232390111</v>
      </c>
      <c r="Q197" s="132">
        <f t="shared" si="39"/>
        <v>13746.111691211252</v>
      </c>
      <c r="R197" s="132">
        <f t="shared" si="50"/>
        <v>3.3400000000000021</v>
      </c>
      <c r="S197" s="164">
        <f t="shared" si="40"/>
        <v>15.435556187774768</v>
      </c>
      <c r="T197" s="132" t="str">
        <f t="shared" si="41"/>
        <v>1+0.191180921401366i</v>
      </c>
      <c r="U197" s="138">
        <f t="shared" si="42"/>
        <v>9.2272792658083151</v>
      </c>
      <c r="V197" s="132">
        <f t="shared" si="43"/>
        <v>111.81062394684257</v>
      </c>
      <c r="W197" s="132">
        <f t="shared" si="44"/>
        <v>58.147947347418409</v>
      </c>
      <c r="X197" s="138">
        <f t="shared" si="45"/>
        <v>-36.114080975542976</v>
      </c>
      <c r="Y197" s="128" t="str">
        <f t="shared" si="46"/>
        <v>652.717776083386-476.21574341357i</v>
      </c>
      <c r="Z197" s="128" t="str">
        <f t="shared" si="47"/>
        <v>-6062320.40051104i</v>
      </c>
      <c r="AA197" s="128" t="str">
        <f t="shared" si="51"/>
        <v>64900-500492.358208242i</v>
      </c>
      <c r="AB197" s="128" t="str">
        <f t="shared" si="52"/>
        <v>5900-917569.323381776i</v>
      </c>
      <c r="AC197" s="128" t="str">
        <f t="shared" si="53"/>
        <v>58357.2141972001-474996.235270423i</v>
      </c>
      <c r="AD197" s="128" t="str">
        <f t="shared" si="54"/>
        <v>108360.480131236-12979.9235259033i</v>
      </c>
      <c r="AE197" s="128" t="str">
        <f t="shared" si="55"/>
        <v>-1.152038637505+4.13083001854462i</v>
      </c>
      <c r="AF197" s="130"/>
      <c r="AG197" s="130"/>
      <c r="AH197" s="130"/>
      <c r="AI197" s="130"/>
      <c r="AJ197" s="130"/>
      <c r="AK197" s="130"/>
      <c r="AL197" s="130"/>
      <c r="AM197" s="130"/>
      <c r="AN197" s="130"/>
      <c r="AO197" s="130"/>
      <c r="AP197" s="130"/>
      <c r="AQ197" s="130"/>
      <c r="AR197" s="130"/>
      <c r="AS197" s="130"/>
    </row>
    <row r="198" spans="1:45" s="166" customFormat="1" x14ac:dyDescent="0.2">
      <c r="A198" s="132">
        <f t="shared" si="48"/>
        <v>24.317</v>
      </c>
      <c r="B198" s="132">
        <f t="shared" si="49"/>
        <v>3.3600000000000021</v>
      </c>
      <c r="C198" s="146">
        <f t="shared" si="28"/>
        <v>2290.8676527677849</v>
      </c>
      <c r="D198" s="137">
        <f t="shared" si="29"/>
        <v>24.317385002471219</v>
      </c>
      <c r="E198" s="132">
        <f t="shared" si="30"/>
        <v>105.68499482926143</v>
      </c>
      <c r="G198" s="146"/>
      <c r="H198" s="184" t="str">
        <f t="shared" si="31"/>
        <v>0.5-0.315789329267702i</v>
      </c>
      <c r="I198" s="132" t="str">
        <f t="shared" si="32"/>
        <v>0.01-1.57894664633851i</v>
      </c>
      <c r="J198" s="132" t="str">
        <f t="shared" si="33"/>
        <v>0.324686516465203-0.347913711609909i</v>
      </c>
      <c r="K198" s="132"/>
      <c r="L198" s="132" t="str">
        <f t="shared" si="34"/>
        <v>0.307474427536301-0.218761827064669i</v>
      </c>
      <c r="M198" s="132" t="str">
        <f t="shared" si="35"/>
        <v>0.009+0.0475000217226597i</v>
      </c>
      <c r="N198" s="132" t="str">
        <f t="shared" si="36"/>
        <v>1.04082790650699-0.127996947687951i</v>
      </c>
      <c r="O198" s="185">
        <f t="shared" si="37"/>
        <v>0.41276574661646637</v>
      </c>
      <c r="P198" s="185">
        <f t="shared" si="38"/>
        <v>-7.0108106488115363</v>
      </c>
      <c r="Q198" s="132">
        <f t="shared" si="39"/>
        <v>14393.945976563533</v>
      </c>
      <c r="R198" s="132">
        <f t="shared" si="50"/>
        <v>3.3600000000000021</v>
      </c>
      <c r="S198" s="164">
        <f t="shared" si="40"/>
        <v>15.459719485993483</v>
      </c>
      <c r="T198" s="132" t="str">
        <f t="shared" si="41"/>
        <v>1+0.200191000642046i</v>
      </c>
      <c r="U198" s="138">
        <f t="shared" si="42"/>
        <v>8.8576655164777343</v>
      </c>
      <c r="V198" s="132">
        <f t="shared" si="43"/>
        <v>112.69580547807297</v>
      </c>
      <c r="W198" s="132">
        <f t="shared" si="44"/>
        <v>58.00486306233006</v>
      </c>
      <c r="X198" s="138">
        <f t="shared" si="45"/>
        <v>-37.379295215094707</v>
      </c>
      <c r="Y198" s="128" t="str">
        <f t="shared" si="46"/>
        <v>631.553761221723-482.497780942146i</v>
      </c>
      <c r="Z198" s="128" t="str">
        <f t="shared" si="47"/>
        <v>-5789471.03657456i</v>
      </c>
      <c r="AA198" s="128" t="str">
        <f t="shared" si="51"/>
        <v>64900-477966.491449257i</v>
      </c>
      <c r="AB198" s="128" t="str">
        <f t="shared" si="52"/>
        <v>5900-876271.900990303i</v>
      </c>
      <c r="AC198" s="128" t="str">
        <f t="shared" si="53"/>
        <v>58356.9609274515-453653.94449035i</v>
      </c>
      <c r="AD198" s="128" t="str">
        <f t="shared" si="54"/>
        <v>108205.021799675-13571.0867975373i</v>
      </c>
      <c r="AE198" s="128" t="str">
        <f t="shared" si="55"/>
        <v>-1.13990248052222+3.94044566973911i</v>
      </c>
      <c r="AF198" s="130"/>
      <c r="AG198" s="130"/>
      <c r="AH198" s="130"/>
      <c r="AI198" s="130"/>
      <c r="AJ198" s="130"/>
      <c r="AK198" s="130"/>
      <c r="AL198" s="130"/>
      <c r="AM198" s="130"/>
      <c r="AN198" s="130"/>
      <c r="AO198" s="130"/>
      <c r="AP198" s="130"/>
      <c r="AQ198" s="130"/>
      <c r="AR198" s="130"/>
      <c r="AS198" s="130"/>
    </row>
    <row r="199" spans="1:45" s="166" customFormat="1" x14ac:dyDescent="0.2">
      <c r="A199" s="132">
        <f t="shared" si="48"/>
        <v>23.975999999999999</v>
      </c>
      <c r="B199" s="132">
        <f t="shared" si="49"/>
        <v>3.3800000000000026</v>
      </c>
      <c r="C199" s="146">
        <f t="shared" si="28"/>
        <v>2398.8329190195045</v>
      </c>
      <c r="D199" s="137">
        <f t="shared" si="29"/>
        <v>23.975984856952667</v>
      </c>
      <c r="E199" s="132">
        <f t="shared" si="30"/>
        <v>106.18041369613444</v>
      </c>
      <c r="G199" s="146"/>
      <c r="H199" s="184" t="str">
        <f t="shared" si="31"/>
        <v>0.5-0.301576468195338i</v>
      </c>
      <c r="I199" s="132" t="str">
        <f t="shared" si="32"/>
        <v>0.01-1.50788234097669i</v>
      </c>
      <c r="J199" s="132" t="str">
        <f t="shared" si="33"/>
        <v>0.322647494051876-0.339489381962451i</v>
      </c>
      <c r="K199" s="132"/>
      <c r="L199" s="132" t="str">
        <f t="shared" si="34"/>
        <v>0.304230340448676-0.214368162521074i</v>
      </c>
      <c r="M199" s="132" t="str">
        <f t="shared" si="35"/>
        <v>0.009+0.0497386287788348i</v>
      </c>
      <c r="N199" s="132" t="str">
        <f t="shared" si="36"/>
        <v>1.0428808510514-0.13625491771531i</v>
      </c>
      <c r="O199" s="185">
        <f t="shared" si="37"/>
        <v>0.43820255298337241</v>
      </c>
      <c r="P199" s="185">
        <f t="shared" si="38"/>
        <v>-7.4436693126415987</v>
      </c>
      <c r="Q199" s="132">
        <f t="shared" si="39"/>
        <v>15072.311751162069</v>
      </c>
      <c r="R199" s="132">
        <f t="shared" si="50"/>
        <v>3.3800000000000021</v>
      </c>
      <c r="S199" s="164">
        <f t="shared" si="40"/>
        <v>15.48515629236039</v>
      </c>
      <c r="T199" s="132" t="str">
        <f t="shared" si="41"/>
        <v>1+0.209625711835162i</v>
      </c>
      <c r="U199" s="138">
        <f t="shared" si="42"/>
        <v>8.4908285645922774</v>
      </c>
      <c r="V199" s="132">
        <f t="shared" si="43"/>
        <v>113.62408300877604</v>
      </c>
      <c r="W199" s="132">
        <f t="shared" si="44"/>
        <v>57.853209496458348</v>
      </c>
      <c r="X199" s="138">
        <f t="shared" si="45"/>
        <v>-38.659958752131473</v>
      </c>
      <c r="Y199" s="128" t="str">
        <f t="shared" si="46"/>
        <v>609.870516222522-487.899040162767i</v>
      </c>
      <c r="Z199" s="128" t="str">
        <f t="shared" si="47"/>
        <v>-5528901.91691452i</v>
      </c>
      <c r="AA199" s="128" t="str">
        <f t="shared" si="51"/>
        <v>64900-456454.455700718i</v>
      </c>
      <c r="AB199" s="128" t="str">
        <f t="shared" si="52"/>
        <v>5900-836833.168784651i</v>
      </c>
      <c r="AC199" s="128" t="str">
        <f t="shared" si="53"/>
        <v>58356.6832252212-433273.914205409i</v>
      </c>
      <c r="AD199" s="128" t="str">
        <f t="shared" si="54"/>
        <v>108035.104851769-14187.1391995161i</v>
      </c>
      <c r="AE199" s="128" t="str">
        <f t="shared" si="55"/>
        <v>-1.12884866503593+3.75835140489911i</v>
      </c>
      <c r="AF199" s="130"/>
      <c r="AG199" s="130"/>
      <c r="AH199" s="130"/>
      <c r="AI199" s="130"/>
      <c r="AJ199" s="130"/>
      <c r="AK199" s="130"/>
      <c r="AL199" s="130"/>
      <c r="AM199" s="130"/>
      <c r="AN199" s="130"/>
      <c r="AO199" s="130"/>
      <c r="AP199" s="130"/>
      <c r="AQ199" s="130"/>
      <c r="AR199" s="130"/>
      <c r="AS199" s="130"/>
    </row>
    <row r="200" spans="1:45" s="166" customFormat="1" x14ac:dyDescent="0.2">
      <c r="A200" s="132">
        <f t="shared" si="48"/>
        <v>23.638999999999999</v>
      </c>
      <c r="B200" s="132">
        <f t="shared" si="49"/>
        <v>3.4000000000000026</v>
      </c>
      <c r="C200" s="146">
        <f t="shared" si="28"/>
        <v>2511.8864315095943</v>
      </c>
      <c r="D200" s="137">
        <f t="shared" si="29"/>
        <v>23.639015992217281</v>
      </c>
      <c r="E200" s="132">
        <f t="shared" si="30"/>
        <v>106.6960633193286</v>
      </c>
      <c r="G200" s="146"/>
      <c r="H200" s="184" t="str">
        <f t="shared" si="31"/>
        <v>0.5-0.288003291245077i</v>
      </c>
      <c r="I200" s="132" t="str">
        <f t="shared" si="32"/>
        <v>0.01-1.44001645622539i</v>
      </c>
      <c r="J200" s="132" t="str">
        <f t="shared" si="33"/>
        <v>0.320441888334522-0.331683039345814i</v>
      </c>
      <c r="K200" s="132"/>
      <c r="L200" s="132" t="str">
        <f t="shared" si="34"/>
        <v>0.301062101000168-0.210329465125718i</v>
      </c>
      <c r="M200" s="132" t="str">
        <f t="shared" si="35"/>
        <v>0.009+0.052082738135224i</v>
      </c>
      <c r="N200" s="132" t="str">
        <f t="shared" si="36"/>
        <v>1.04498547576127-0.14501589742459i</v>
      </c>
      <c r="O200" s="185">
        <f t="shared" si="37"/>
        <v>0.46504628596174746</v>
      </c>
      <c r="P200" s="185">
        <f t="shared" si="38"/>
        <v>-7.9006552025830397</v>
      </c>
      <c r="Q200" s="132">
        <f t="shared" si="39"/>
        <v>15782.647919764846</v>
      </c>
      <c r="R200" s="132">
        <f t="shared" si="50"/>
        <v>3.4000000000000021</v>
      </c>
      <c r="S200" s="164">
        <f t="shared" si="40"/>
        <v>15.512000025338764</v>
      </c>
      <c r="T200" s="132" t="str">
        <f t="shared" si="41"/>
        <v>1+0.219505067268089i</v>
      </c>
      <c r="U200" s="138">
        <f t="shared" si="42"/>
        <v>8.1270159668785187</v>
      </c>
      <c r="V200" s="132">
        <f t="shared" si="43"/>
        <v>114.59671852191164</v>
      </c>
      <c r="W200" s="132">
        <f t="shared" si="44"/>
        <v>57.692793914793292</v>
      </c>
      <c r="X200" s="138">
        <f t="shared" si="45"/>
        <v>-39.95367788794217</v>
      </c>
      <c r="Y200" s="128" t="str">
        <f t="shared" si="46"/>
        <v>587.743779581234-492.366397005391i</v>
      </c>
      <c r="Z200" s="128" t="str">
        <f t="shared" si="47"/>
        <v>-5280060.33949308i</v>
      </c>
      <c r="AA200" s="128" t="str">
        <f t="shared" si="51"/>
        <v>64900-435910.621050635i</v>
      </c>
      <c r="AB200" s="128" t="str">
        <f t="shared" si="52"/>
        <v>5900-799169.471926167i</v>
      </c>
      <c r="AC200" s="128" t="str">
        <f t="shared" si="53"/>
        <v>58356.3787338185-413812.915588074i</v>
      </c>
      <c r="AD200" s="128" t="str">
        <f t="shared" si="54"/>
        <v>107849.440286078-14828.8323634206i</v>
      </c>
      <c r="AE200" s="128" t="str">
        <f t="shared" si="55"/>
        <v>-1.11878390229876+3.58416980593592i</v>
      </c>
      <c r="AF200" s="130"/>
      <c r="AG200" s="130"/>
      <c r="AH200" s="130"/>
      <c r="AI200" s="130"/>
      <c r="AJ200" s="130"/>
      <c r="AK200" s="130"/>
      <c r="AL200" s="130"/>
      <c r="AM200" s="130"/>
      <c r="AN200" s="130"/>
      <c r="AO200" s="130"/>
      <c r="AP200" s="130"/>
      <c r="AQ200" s="130"/>
      <c r="AR200" s="130"/>
      <c r="AS200" s="130"/>
    </row>
    <row r="201" spans="1:45" s="166" customFormat="1" x14ac:dyDescent="0.2">
      <c r="A201" s="132">
        <f t="shared" si="48"/>
        <v>23.306999999999999</v>
      </c>
      <c r="B201" s="132">
        <f t="shared" si="49"/>
        <v>3.4200000000000026</v>
      </c>
      <c r="C201" s="146">
        <f t="shared" si="28"/>
        <v>2630.2679918953963</v>
      </c>
      <c r="D201" s="137">
        <f t="shared" si="29"/>
        <v>23.306895644262564</v>
      </c>
      <c r="E201" s="132">
        <f t="shared" si="30"/>
        <v>107.23181709790087</v>
      </c>
      <c r="G201" s="146"/>
      <c r="H201" s="184" t="str">
        <f t="shared" si="31"/>
        <v>0.5-0.275041007888821i</v>
      </c>
      <c r="I201" s="132" t="str">
        <f t="shared" si="32"/>
        <v>0.01-1.37520503944411i</v>
      </c>
      <c r="J201" s="132" t="str">
        <f t="shared" si="33"/>
        <v>0.318058960845094-0.324465464406877i</v>
      </c>
      <c r="K201" s="132"/>
      <c r="L201" s="132" t="str">
        <f t="shared" si="34"/>
        <v>0.297947752864521-0.206637339309921i</v>
      </c>
      <c r="M201" s="132" t="str">
        <f t="shared" si="35"/>
        <v>0.009+0.0545373219620523i</v>
      </c>
      <c r="N201" s="132" t="str">
        <f t="shared" si="36"/>
        <v>1.04714558796272-0.15431446157533i</v>
      </c>
      <c r="O201" s="185">
        <f t="shared" si="37"/>
        <v>0.49344738850437664</v>
      </c>
      <c r="P201" s="185">
        <f t="shared" si="38"/>
        <v>-8.3831558160763553</v>
      </c>
      <c r="Q201" s="132">
        <f t="shared" si="39"/>
        <v>16526.46120062191</v>
      </c>
      <c r="R201" s="132">
        <f t="shared" si="50"/>
        <v>3.4200000000000021</v>
      </c>
      <c r="S201" s="164">
        <f t="shared" si="40"/>
        <v>15.540401127881394</v>
      </c>
      <c r="T201" s="132" t="str">
        <f t="shared" si="41"/>
        <v>1+0.22985002237825i</v>
      </c>
      <c r="U201" s="138">
        <f t="shared" si="42"/>
        <v>7.7664945163811714</v>
      </c>
      <c r="V201" s="132">
        <f t="shared" si="43"/>
        <v>115.61497291397723</v>
      </c>
      <c r="W201" s="132">
        <f t="shared" si="44"/>
        <v>57.523455292421481</v>
      </c>
      <c r="X201" s="138">
        <f t="shared" si="45"/>
        <v>-41.25792928047052</v>
      </c>
      <c r="Y201" s="128" t="str">
        <f t="shared" si="46"/>
        <v>565.256239447873-495.854824727294i</v>
      </c>
      <c r="Z201" s="128" t="str">
        <f t="shared" si="47"/>
        <v>-5042418.47796172i</v>
      </c>
      <c r="AA201" s="128" t="str">
        <f t="shared" si="51"/>
        <v>64900-416291.411271357i</v>
      </c>
      <c r="AB201" s="128" t="str">
        <f t="shared" si="52"/>
        <v>5900-763200.920664153i</v>
      </c>
      <c r="AC201" s="128" t="str">
        <f t="shared" si="53"/>
        <v>58356.0448692865-395229.669192662i</v>
      </c>
      <c r="AD201" s="128" t="str">
        <f t="shared" si="54"/>
        <v>107646.635171022-15496.8956353316i</v>
      </c>
      <c r="AE201" s="128" t="str">
        <f t="shared" si="55"/>
        <v>-1.10962320755617+3.41753911051845i</v>
      </c>
      <c r="AF201" s="130"/>
      <c r="AG201" s="130"/>
      <c r="AH201" s="130"/>
      <c r="AI201" s="130"/>
      <c r="AJ201" s="130"/>
      <c r="AK201" s="130"/>
      <c r="AL201" s="130"/>
      <c r="AM201" s="130"/>
      <c r="AN201" s="130"/>
      <c r="AO201" s="130"/>
      <c r="AP201" s="130"/>
      <c r="AQ201" s="130"/>
      <c r="AR201" s="130"/>
      <c r="AS201" s="130"/>
    </row>
    <row r="202" spans="1:45" s="166" customFormat="1" x14ac:dyDescent="0.2">
      <c r="A202" s="132">
        <f t="shared" si="48"/>
        <v>22.98</v>
      </c>
      <c r="B202" s="132">
        <f t="shared" si="49"/>
        <v>3.4400000000000022</v>
      </c>
      <c r="C202" s="146">
        <f t="shared" si="28"/>
        <v>2754.2287033381813</v>
      </c>
      <c r="D202" s="137">
        <f t="shared" si="29"/>
        <v>22.980079328050262</v>
      </c>
      <c r="E202" s="132">
        <f t="shared" si="30"/>
        <v>107.78737975199662</v>
      </c>
      <c r="G202" s="146"/>
      <c r="H202" s="184" t="str">
        <f t="shared" si="31"/>
        <v>0.5-0.262662123385688i</v>
      </c>
      <c r="I202" s="132" t="str">
        <f t="shared" si="32"/>
        <v>0.01-1.31331061692844i</v>
      </c>
      <c r="J202" s="132" t="str">
        <f t="shared" si="33"/>
        <v>0.315487802457104-0.317807359066809i</v>
      </c>
      <c r="K202" s="132"/>
      <c r="L202" s="132" t="str">
        <f t="shared" si="34"/>
        <v>0.294866043383721-0.203282582232082i</v>
      </c>
      <c r="M202" s="132" t="str">
        <f t="shared" si="35"/>
        <v>0.009+0.0571075867607082i</v>
      </c>
      <c r="N202" s="132" t="str">
        <f t="shared" si="36"/>
        <v>1.0493651965236-0.164189551510447i</v>
      </c>
      <c r="O202" s="185">
        <f t="shared" si="37"/>
        <v>0.52357425502646049</v>
      </c>
      <c r="P202" s="185">
        <f t="shared" si="38"/>
        <v>-8.8927171342175093</v>
      </c>
      <c r="Q202" s="132">
        <f t="shared" si="39"/>
        <v>17305.329321426743</v>
      </c>
      <c r="R202" s="132">
        <f t="shared" si="50"/>
        <v>3.4400000000000022</v>
      </c>
      <c r="S202" s="164">
        <f t="shared" si="40"/>
        <v>15.570527994403477</v>
      </c>
      <c r="T202" s="132" t="str">
        <f t="shared" si="41"/>
        <v>1+0.240682520202403i</v>
      </c>
      <c r="U202" s="138">
        <f t="shared" si="42"/>
        <v>7.4095513336467853</v>
      </c>
      <c r="V202" s="132">
        <f t="shared" si="43"/>
        <v>116.68009688621413</v>
      </c>
      <c r="W202" s="132">
        <f t="shared" si="44"/>
        <v>57.345066873324875</v>
      </c>
      <c r="X202" s="138">
        <f t="shared" si="45"/>
        <v>-42.570082766076929</v>
      </c>
      <c r="Y202" s="128" t="str">
        <f t="shared" si="46"/>
        <v>542.496396924299-498.328472138256i</v>
      </c>
      <c r="Z202" s="128" t="str">
        <f t="shared" si="47"/>
        <v>-4815472.26207093i</v>
      </c>
      <c r="AA202" s="128" t="str">
        <f t="shared" si="51"/>
        <v>64900-397555.211388546i</v>
      </c>
      <c r="AB202" s="128" t="str">
        <f t="shared" si="52"/>
        <v>5900-728851.220879i</v>
      </c>
      <c r="AC202" s="128" t="str">
        <f t="shared" si="53"/>
        <v>58355.6787984977-377484.757394976i</v>
      </c>
      <c r="AD202" s="128" t="str">
        <f t="shared" si="54"/>
        <v>107425.186445546-16192.0276333021i</v>
      </c>
      <c r="AE202" s="128" t="str">
        <f t="shared" si="55"/>
        <v>-1.1012891940347+3.25811259078123i</v>
      </c>
      <c r="AF202" s="130"/>
      <c r="AG202" s="130"/>
      <c r="AH202" s="130"/>
      <c r="AI202" s="130"/>
      <c r="AJ202" s="130"/>
      <c r="AK202" s="130"/>
      <c r="AL202" s="130"/>
      <c r="AM202" s="130"/>
      <c r="AN202" s="130"/>
      <c r="AO202" s="130"/>
      <c r="AP202" s="130"/>
      <c r="AQ202" s="130"/>
      <c r="AR202" s="130"/>
      <c r="AS202" s="130"/>
    </row>
    <row r="203" spans="1:45" s="166" customFormat="1" x14ac:dyDescent="0.2">
      <c r="A203" s="132">
        <f t="shared" si="48"/>
        <v>22.658999999999999</v>
      </c>
      <c r="B203" s="132">
        <f t="shared" si="49"/>
        <v>3.4600000000000026</v>
      </c>
      <c r="C203" s="146">
        <f t="shared" si="28"/>
        <v>2884.0315031266232</v>
      </c>
      <c r="D203" s="137">
        <f t="shared" si="29"/>
        <v>22.659062802706114</v>
      </c>
      <c r="E203" s="132">
        <f t="shared" si="30"/>
        <v>108.36225301521145</v>
      </c>
      <c r="G203" s="146"/>
      <c r="H203" s="184" t="str">
        <f t="shared" si="31"/>
        <v>0.5-0.250840380461979i</v>
      </c>
      <c r="I203" s="132" t="str">
        <f t="shared" si="32"/>
        <v>0.01-1.2542019023099i</v>
      </c>
      <c r="J203" s="132" t="str">
        <f t="shared" si="33"/>
        <v>0.312717435524553-0.311679199872802i</v>
      </c>
      <c r="K203" s="132"/>
      <c r="L203" s="132" t="str">
        <f t="shared" si="34"/>
        <v>0.291796382662366-0.200255183533834i</v>
      </c>
      <c r="M203" s="132" t="str">
        <f t="shared" si="35"/>
        <v>0.009+0.0597989844074312i</v>
      </c>
      <c r="N203" s="132" t="str">
        <f t="shared" si="36"/>
        <v>1.05164827287753-0.174685160248715i</v>
      </c>
      <c r="O203" s="185">
        <f t="shared" si="37"/>
        <v>0.55561413299036178</v>
      </c>
      <c r="P203" s="185">
        <f t="shared" si="38"/>
        <v>-9.4310675769320493</v>
      </c>
      <c r="Q203" s="132">
        <f t="shared" si="39"/>
        <v>18120.904365888255</v>
      </c>
      <c r="R203" s="132">
        <f t="shared" si="50"/>
        <v>3.4600000000000022</v>
      </c>
      <c r="S203" s="164">
        <f t="shared" si="40"/>
        <v>15.602567872367379</v>
      </c>
      <c r="T203" s="132" t="str">
        <f t="shared" si="41"/>
        <v>1+0.252025537920774i</v>
      </c>
      <c r="U203" s="138">
        <f t="shared" si="42"/>
        <v>7.0564949303387348</v>
      </c>
      <c r="V203" s="132">
        <f t="shared" si="43"/>
        <v>117.7933205921435</v>
      </c>
      <c r="W203" s="132">
        <f t="shared" si="44"/>
        <v>57.157538234545726</v>
      </c>
      <c r="X203" s="138">
        <f t="shared" si="45"/>
        <v>-43.887426778609282</v>
      </c>
      <c r="Y203" s="128" t="str">
        <f t="shared" si="46"/>
        <v>519.557234678599-499.761547289802i</v>
      </c>
      <c r="Z203" s="128" t="str">
        <f t="shared" si="47"/>
        <v>-4598740.30846961i</v>
      </c>
      <c r="AA203" s="128" t="str">
        <f t="shared" si="51"/>
        <v>64900-379662.279410247i</v>
      </c>
      <c r="AB203" s="128" t="str">
        <f t="shared" si="52"/>
        <v>5900-696047.51225212i</v>
      </c>
      <c r="AC203" s="128" t="str">
        <f t="shared" si="53"/>
        <v>58355.2774151382-360540.540780966i</v>
      </c>
      <c r="AD203" s="128" t="str">
        <f t="shared" si="54"/>
        <v>107183.474804408-16914.8865883258i</v>
      </c>
      <c r="AE203" s="128" t="str">
        <f t="shared" si="55"/>
        <v>-1.0937114288366+3.10555794538517i</v>
      </c>
      <c r="AF203" s="130"/>
      <c r="AG203" s="130"/>
      <c r="AH203" s="130"/>
      <c r="AI203" s="130"/>
      <c r="AJ203" s="130"/>
      <c r="AK203" s="130"/>
      <c r="AL203" s="130"/>
      <c r="AM203" s="130"/>
      <c r="AN203" s="130"/>
      <c r="AO203" s="130"/>
      <c r="AP203" s="130"/>
      <c r="AQ203" s="130"/>
      <c r="AR203" s="130"/>
      <c r="AS203" s="130"/>
    </row>
    <row r="204" spans="1:45" s="166" customFormat="1" x14ac:dyDescent="0.2">
      <c r="A204" s="132">
        <f t="shared" si="48"/>
        <v>22.344000000000001</v>
      </c>
      <c r="B204" s="132">
        <f t="shared" si="49"/>
        <v>3.4800000000000026</v>
      </c>
      <c r="C204" s="146">
        <f t="shared" si="28"/>
        <v>3019.951720402034</v>
      </c>
      <c r="D204" s="137">
        <f t="shared" si="29"/>
        <v>22.344383958335143</v>
      </c>
      <c r="E204" s="132">
        <f t="shared" si="30"/>
        <v>108.95569693098749</v>
      </c>
      <c r="G204" s="146"/>
      <c r="H204" s="184" t="str">
        <f t="shared" si="31"/>
        <v>0.5-0.239550703615986i</v>
      </c>
      <c r="I204" s="132" t="str">
        <f t="shared" si="32"/>
        <v>0.01-1.19775351807993i</v>
      </c>
      <c r="J204" s="132" t="str">
        <f t="shared" si="33"/>
        <v>0.309736936191437-0.306051098182377i</v>
      </c>
      <c r="K204" s="132"/>
      <c r="L204" s="132" t="str">
        <f t="shared" si="34"/>
        <v>0.288718813602292-0.197544310889826i</v>
      </c>
      <c r="M204" s="132" t="str">
        <f t="shared" si="35"/>
        <v>0.009+0.0626172237174718i</v>
      </c>
      <c r="N204" s="132" t="str">
        <f t="shared" si="36"/>
        <v>1.05399843222441-0.185851111913517i</v>
      </c>
      <c r="O204" s="185">
        <f t="shared" si="37"/>
        <v>0.58977399477380243</v>
      </c>
      <c r="P204" s="185">
        <f t="shared" si="38"/>
        <v>-10.00014501960357</v>
      </c>
      <c r="Q204" s="132">
        <f t="shared" si="39"/>
        <v>18974.916278021774</v>
      </c>
      <c r="R204" s="132">
        <f t="shared" si="50"/>
        <v>3.4800000000000022</v>
      </c>
      <c r="S204" s="164">
        <f t="shared" si="40"/>
        <v>15.636727734150819</v>
      </c>
      <c r="T204" s="132" t="str">
        <f t="shared" si="41"/>
        <v>1+0.263903135594727i</v>
      </c>
      <c r="U204" s="138">
        <f t="shared" si="42"/>
        <v>6.7076562241843245</v>
      </c>
      <c r="V204" s="132">
        <f t="shared" si="43"/>
        <v>118.95584195059105</v>
      </c>
      <c r="W204" s="132">
        <f t="shared" si="44"/>
        <v>56.960816785553163</v>
      </c>
      <c r="X204" s="138">
        <f t="shared" si="45"/>
        <v>-45.207195798339399</v>
      </c>
      <c r="Y204" s="128" t="str">
        <f t="shared" si="46"/>
        <v>496.534731001935-500.138966854047i</v>
      </c>
      <c r="Z204" s="128" t="str">
        <f t="shared" si="47"/>
        <v>-4391762.89962642i</v>
      </c>
      <c r="AA204" s="128" t="str">
        <f t="shared" si="51"/>
        <v>64900-362574.662028784i</v>
      </c>
      <c r="AB204" s="128" t="str">
        <f t="shared" si="52"/>
        <v>5900-664720.213719437i</v>
      </c>
      <c r="AC204" s="128" t="str">
        <f t="shared" si="53"/>
        <v>58354.8373133825-344361.078307003i</v>
      </c>
      <c r="AD204" s="128" t="str">
        <f t="shared" si="54"/>
        <v>106919.758787507-17666.0793535437i</v>
      </c>
      <c r="AE204" s="128" t="str">
        <f t="shared" si="55"/>
        <v>-1.0868258457064+2.95955670603132i</v>
      </c>
      <c r="AF204" s="130"/>
      <c r="AG204" s="130"/>
      <c r="AH204" s="130"/>
      <c r="AI204" s="130"/>
      <c r="AJ204" s="130"/>
      <c r="AK204" s="130"/>
      <c r="AL204" s="130"/>
      <c r="AM204" s="130"/>
      <c r="AN204" s="130"/>
      <c r="AO204" s="130"/>
      <c r="AP204" s="130"/>
      <c r="AQ204" s="130"/>
      <c r="AR204" s="130"/>
      <c r="AS204" s="130"/>
    </row>
    <row r="205" spans="1:45" s="166" customFormat="1" x14ac:dyDescent="0.2">
      <c r="A205" s="132">
        <f t="shared" si="48"/>
        <v>22.036999999999999</v>
      </c>
      <c r="B205" s="132">
        <f t="shared" si="49"/>
        <v>3.5000000000000027</v>
      </c>
      <c r="C205" s="146">
        <f t="shared" si="28"/>
        <v>3162.2776601683972</v>
      </c>
      <c r="D205" s="137">
        <f t="shared" si="29"/>
        <v>22.036624586510904</v>
      </c>
      <c r="E205" s="132">
        <f t="shared" si="30"/>
        <v>109.56668606752025</v>
      </c>
      <c r="G205" s="146"/>
      <c r="H205" s="184" t="str">
        <f t="shared" si="31"/>
        <v>0.5-0.228769145929485i</v>
      </c>
      <c r="I205" s="132" t="str">
        <f t="shared" si="32"/>
        <v>0.01-1.14384572964743i</v>
      </c>
      <c r="J205" s="132" t="str">
        <f t="shared" si="33"/>
        <v>0.306535578058667-0.30089267048258i</v>
      </c>
      <c r="K205" s="132"/>
      <c r="L205" s="132" t="str">
        <f t="shared" si="34"/>
        <v>0.285613994978943-0.195138283291237i</v>
      </c>
      <c r="M205" s="132" t="str">
        <f t="shared" si="35"/>
        <v>0.009+0.0655682825542546i</v>
      </c>
      <c r="N205" s="132" t="str">
        <f t="shared" si="36"/>
        <v>1.0564185145511-0.197743951662762i</v>
      </c>
      <c r="O205" s="185">
        <f t="shared" si="37"/>
        <v>0.62628136677729707</v>
      </c>
      <c r="P205" s="185">
        <f t="shared" si="38"/>
        <v>-10.602127473890274</v>
      </c>
      <c r="Q205" s="132">
        <f t="shared" si="39"/>
        <v>19869.176531592315</v>
      </c>
      <c r="R205" s="132">
        <f t="shared" si="50"/>
        <v>3.5000000000000022</v>
      </c>
      <c r="S205" s="164">
        <f t="shared" si="40"/>
        <v>15.673235106154316</v>
      </c>
      <c r="T205" s="132" t="str">
        <f t="shared" si="41"/>
        <v>1+0.276340507201386i</v>
      </c>
      <c r="U205" s="138">
        <f t="shared" si="42"/>
        <v>6.363389480356588</v>
      </c>
      <c r="V205" s="132">
        <f t="shared" si="43"/>
        <v>120.16881354141053</v>
      </c>
      <c r="W205" s="132">
        <f t="shared" si="44"/>
        <v>56.754888650570436</v>
      </c>
      <c r="X205" s="138">
        <f t="shared" si="45"/>
        <v>-46.526599170662038</v>
      </c>
      <c r="Y205" s="128" t="str">
        <f t="shared" si="46"/>
        <v>473.52626843684-499.456741127972i</v>
      </c>
      <c r="Z205" s="128" t="str">
        <f t="shared" si="47"/>
        <v>-4194101.00870722i</v>
      </c>
      <c r="AA205" s="128" t="str">
        <f t="shared" si="51"/>
        <v>64900-346256.114116717i</v>
      </c>
      <c r="AB205" s="128" t="str">
        <f t="shared" si="52"/>
        <v>5900-634802.875880647i</v>
      </c>
      <c r="AC205" s="128" t="str">
        <f t="shared" si="53"/>
        <v>58354.3547590331-328912.051062428i</v>
      </c>
      <c r="AD205" s="128" t="str">
        <f t="shared" si="54"/>
        <v>106632.169219167-18446.1489659398i</v>
      </c>
      <c r="AE205" s="128" t="str">
        <f t="shared" si="55"/>
        <v>-1.08057421004399+2.81980365925946i</v>
      </c>
      <c r="AF205" s="130"/>
      <c r="AG205" s="130"/>
      <c r="AH205" s="130"/>
      <c r="AI205" s="130"/>
      <c r="AJ205" s="130"/>
      <c r="AK205" s="130"/>
      <c r="AL205" s="130"/>
      <c r="AM205" s="130"/>
      <c r="AN205" s="130"/>
      <c r="AO205" s="130"/>
      <c r="AP205" s="130"/>
      <c r="AQ205" s="130"/>
      <c r="AR205" s="130"/>
      <c r="AS205" s="130"/>
    </row>
    <row r="206" spans="1:45" s="166" customFormat="1" x14ac:dyDescent="0.2">
      <c r="A206" s="132">
        <f t="shared" si="48"/>
        <v>21.736000000000001</v>
      </c>
      <c r="B206" s="132">
        <f t="shared" si="49"/>
        <v>3.5200000000000022</v>
      </c>
      <c r="C206" s="146">
        <f t="shared" si="28"/>
        <v>3311.3112148259288</v>
      </c>
      <c r="D206" s="137">
        <f t="shared" si="29"/>
        <v>21.736411979789889</v>
      </c>
      <c r="E206" s="132">
        <f t="shared" si="30"/>
        <v>110.19385983750604</v>
      </c>
      <c r="G206" s="146"/>
      <c r="H206" s="184" t="str">
        <f t="shared" si="31"/>
        <v>0.5-0.218472838273114i</v>
      </c>
      <c r="I206" s="132" t="str">
        <f t="shared" si="32"/>
        <v>0.01-1.09236419136557i</v>
      </c>
      <c r="J206" s="132" t="str">
        <f t="shared" si="33"/>
        <v>0.303102997932728-0.296172922707452i</v>
      </c>
      <c r="K206" s="132"/>
      <c r="L206" s="132" t="str">
        <f t="shared" si="34"/>
        <v>0.282463199548792-0.193024534260751i</v>
      </c>
      <c r="M206" s="132" t="str">
        <f t="shared" si="35"/>
        <v>0.009+0.0686584205092278i</v>
      </c>
      <c r="N206" s="132" t="str">
        <f t="shared" si="36"/>
        <v>1.0589100382903-0.210427965112087i</v>
      </c>
      <c r="O206" s="185">
        <f t="shared" si="37"/>
        <v>0.66538509007508584</v>
      </c>
      <c r="P206" s="185">
        <f t="shared" si="38"/>
        <v>-11.239468176210604</v>
      </c>
      <c r="Q206" s="132">
        <f t="shared" si="39"/>
        <v>20805.581972493263</v>
      </c>
      <c r="R206" s="132">
        <f t="shared" si="50"/>
        <v>3.5200000000000022</v>
      </c>
      <c r="S206" s="164">
        <f t="shared" si="40"/>
        <v>15.712338829452101</v>
      </c>
      <c r="T206" s="132" t="str">
        <f t="shared" si="41"/>
        <v>1+0.289364034073436i</v>
      </c>
      <c r="U206" s="138">
        <f t="shared" si="42"/>
        <v>6.0240731503377889</v>
      </c>
      <c r="V206" s="132">
        <f t="shared" si="43"/>
        <v>121.43332801371665</v>
      </c>
      <c r="W206" s="132">
        <f t="shared" si="44"/>
        <v>56.539778902629322</v>
      </c>
      <c r="X206" s="138">
        <f t="shared" si="45"/>
        <v>-47.842850570451326</v>
      </c>
      <c r="Y206" s="128" t="str">
        <f t="shared" si="46"/>
        <v>450.628992408825-497.722076514859i</v>
      </c>
      <c r="Z206" s="128" t="str">
        <f t="shared" si="47"/>
        <v>-4005335.36834043i</v>
      </c>
      <c r="AA206" s="128" t="str">
        <f t="shared" si="51"/>
        <v>64900-330672.021846056i</v>
      </c>
      <c r="AB206" s="128" t="str">
        <f t="shared" si="52"/>
        <v>5900-606232.040051104i</v>
      </c>
      <c r="AC206" s="128" t="str">
        <f t="shared" si="53"/>
        <v>58353.8256578834-314160.689472594i</v>
      </c>
      <c r="AD206" s="128" t="str">
        <f t="shared" si="54"/>
        <v>106318.704173303-19255.5606475399i</v>
      </c>
      <c r="AE206" s="128" t="str">
        <f t="shared" si="55"/>
        <v>-1.0749036319226+2.68600628413404i</v>
      </c>
      <c r="AF206" s="130"/>
      <c r="AG206" s="130"/>
      <c r="AH206" s="130"/>
      <c r="AI206" s="130"/>
      <c r="AJ206" s="130"/>
      <c r="AK206" s="130"/>
      <c r="AL206" s="130"/>
      <c r="AM206" s="130"/>
      <c r="AN206" s="130"/>
      <c r="AO206" s="130"/>
      <c r="AP206" s="130"/>
      <c r="AQ206" s="130"/>
      <c r="AR206" s="130"/>
      <c r="AS206" s="130"/>
    </row>
    <row r="207" spans="1:45" s="166" customFormat="1" x14ac:dyDescent="0.2">
      <c r="A207" s="132">
        <f t="shared" si="48"/>
        <v>21.443999999999999</v>
      </c>
      <c r="B207" s="132">
        <f t="shared" si="49"/>
        <v>3.5400000000000023</v>
      </c>
      <c r="C207" s="146">
        <f t="shared" si="28"/>
        <v>3467.3685045253346</v>
      </c>
      <c r="D207" s="137">
        <f t="shared" si="29"/>
        <v>21.444420283706449</v>
      </c>
      <c r="E207" s="132">
        <f t="shared" si="30"/>
        <v>110.83546596468692</v>
      </c>
      <c r="G207" s="146"/>
      <c r="H207" s="184" t="str">
        <f t="shared" si="31"/>
        <v>0.5-0.208639940797885i</v>
      </c>
      <c r="I207" s="132" t="str">
        <f t="shared" si="32"/>
        <v>0.01-1.04319970398942i</v>
      </c>
      <c r="J207" s="132" t="str">
        <f t="shared" si="33"/>
        <v>0.299429383754823-0.29186015294935i</v>
      </c>
      <c r="K207" s="132"/>
      <c r="L207" s="132" t="str">
        <f t="shared" si="34"/>
        <v>0.279248329036274-0.191189567497207i</v>
      </c>
      <c r="M207" s="132" t="str">
        <f t="shared" si="35"/>
        <v>0.009+0.0718941921792958i</v>
      </c>
      <c r="N207" s="132" t="str">
        <f t="shared" si="36"/>
        <v>1.06147249035873-0.223976349094813i</v>
      </c>
      <c r="O207" s="185">
        <f t="shared" si="37"/>
        <v>0.70735596925103761</v>
      </c>
      <c r="P207" s="185">
        <f t="shared" si="38"/>
        <v>-11.914935989675993</v>
      </c>
      <c r="Q207" s="132">
        <f t="shared" si="39"/>
        <v>21786.118842210839</v>
      </c>
      <c r="R207" s="132">
        <f t="shared" si="50"/>
        <v>3.5400000000000023</v>
      </c>
      <c r="S207" s="164">
        <f t="shared" si="40"/>
        <v>15.754309708628053</v>
      </c>
      <c r="T207" s="132" t="str">
        <f t="shared" si="41"/>
        <v>1+0.303001340857468i</v>
      </c>
      <c r="U207" s="138">
        <f t="shared" si="42"/>
        <v>5.6901105750783962</v>
      </c>
      <c r="V207" s="132">
        <f t="shared" si="43"/>
        <v>122.75040195436291</v>
      </c>
      <c r="W207" s="132">
        <f t="shared" si="44"/>
        <v>56.315551141004562</v>
      </c>
      <c r="X207" s="138">
        <f t="shared" si="45"/>
        <v>-49.153197357436788</v>
      </c>
      <c r="Y207" s="128" t="str">
        <f t="shared" si="46"/>
        <v>427.938178325752-494.953190612315i</v>
      </c>
      <c r="Z207" s="128" t="str">
        <f t="shared" si="47"/>
        <v>-3825065.58129455i</v>
      </c>
      <c r="AA207" s="128" t="str">
        <f t="shared" si="51"/>
        <v>64900-315789.329267702i</v>
      </c>
      <c r="AB207" s="128" t="str">
        <f t="shared" si="52"/>
        <v>5900-578947.103657456i</v>
      </c>
      <c r="AC207" s="128" t="str">
        <f t="shared" si="53"/>
        <v>58353.2455210369-300075.703787981i</v>
      </c>
      <c r="AD207" s="128" t="str">
        <f t="shared" si="54"/>
        <v>105977.224674025-20094.6861401051i</v>
      </c>
      <c r="AE207" s="128" t="str">
        <f t="shared" si="55"/>
        <v>-1.06976612322656+2.5578842062274i</v>
      </c>
      <c r="AF207" s="130"/>
      <c r="AG207" s="130"/>
      <c r="AH207" s="130"/>
      <c r="AI207" s="130"/>
      <c r="AJ207" s="130"/>
      <c r="AK207" s="130"/>
      <c r="AL207" s="130"/>
      <c r="AM207" s="130"/>
      <c r="AN207" s="130"/>
      <c r="AO207" s="130"/>
      <c r="AP207" s="130"/>
      <c r="AQ207" s="130"/>
      <c r="AR207" s="130"/>
      <c r="AS207" s="130"/>
    </row>
    <row r="208" spans="1:45" s="166" customFormat="1" x14ac:dyDescent="0.2">
      <c r="A208" s="132">
        <f t="shared" si="48"/>
        <v>21.161000000000001</v>
      </c>
      <c r="B208" s="132">
        <f t="shared" si="49"/>
        <v>3.5600000000000032</v>
      </c>
      <c r="C208" s="146">
        <f t="shared" ref="C208:C271" si="56">10^R208</f>
        <v>3630.7805477010384</v>
      </c>
      <c r="D208" s="137">
        <f t="shared" ref="D208:D271" si="57">S208+U208</f>
        <v>21.161371496253729</v>
      </c>
      <c r="E208" s="132">
        <f t="shared" ref="E208:E271" si="58">P208+V208</f>
        <v>111.48929597558626</v>
      </c>
      <c r="G208" s="146"/>
      <c r="H208" s="184" t="str">
        <f t="shared" ref="H208:H271" si="59">IMSUM(IMDIV(1,COMPLEX(0,Q208*COUT*10^-6)),ESR*10^-3)</f>
        <v>0.5-0.199249596609931i</v>
      </c>
      <c r="I208" s="132" t="str">
        <f t="shared" ref="I208:I271" si="60">IMSUM(IMDIV(1,COMPLEX(0,Q208*MLCC*10^-6)),MLCC_ESR*10^-3)</f>
        <v>0.01-0.996247983049653i</v>
      </c>
      <c r="J208" s="132" t="str">
        <f t="shared" ref="J208:J271" si="61">IMDIV(IMPRODUCT(H208,I208),IMSUM(H208,I208))</f>
        <v>0.29550568400659-0.28792187742235i</v>
      </c>
      <c r="K208" s="132"/>
      <c r="L208" s="132" t="str">
        <f t="shared" ref="L208:L271" si="62">IMDIV(IMPRODUCT(J208,VOUT/IOUT_max),IMSUM(J208,VOUT/IOUT_max))</f>
        <v>0.275951947659512-0.189618907790143i</v>
      </c>
      <c r="M208" s="132" t="str">
        <f t="shared" ref="M208:M271" si="63">COMPLEX(DCR*10^-3,Q208*LOUT*10^-6)</f>
        <v>0.009+0.0752824610699984i</v>
      </c>
      <c r="N208" s="132" t="str">
        <f t="shared" ref="N208:N271" si="64">IMDIV(L208,IMSUM(M208,L208))</f>
        <v>1.06410240428609-0.238472558253595i</v>
      </c>
      <c r="O208" s="185">
        <f t="shared" ref="O208:O271" si="65">20*LOG(IMABS(N208))</f>
        <v>0.7524872419018519</v>
      </c>
      <c r="P208" s="185">
        <f t="shared" ref="P208:P271" si="66">180/PI()*IMARGUMENT(N208)</f>
        <v>-12.631662213027731</v>
      </c>
      <c r="Q208" s="132">
        <f t="shared" ref="Q208:Q271" si="67">2*PI()*C208</f>
        <v>22812.866990908617</v>
      </c>
      <c r="R208" s="132">
        <f t="shared" si="50"/>
        <v>3.5600000000000023</v>
      </c>
      <c r="S208" s="164">
        <f t="shared" ref="S208:S271" si="68">20*LOG(IMABS(N208)*$F$62)</f>
        <v>15.79944098127887</v>
      </c>
      <c r="T208" s="132" t="str">
        <f t="shared" ref="T208:T271" si="69">COMPLEX(1,Q208*(R_1+R_2)*C_1*10^-12)</f>
        <v>1+0.317281354109557i</v>
      </c>
      <c r="U208" s="138">
        <f t="shared" ref="U208:U271" si="70">20*LOG(IMABS(AE217))</f>
        <v>5.3619305149748566</v>
      </c>
      <c r="V208" s="132">
        <f t="shared" ref="V208:V271" si="71">IF(180/PI()*IMARGUMENT(AE217)&lt;0,180/PI()*IMARGUMENT(AE217)+360,180/PI()*IMARGUMENT(AE217))</f>
        <v>124.12095818861398</v>
      </c>
      <c r="W208" s="132">
        <f t="shared" ref="W208:W271" si="72">20*LOG(IMABS(Y208))</f>
        <v>56.082306427079168</v>
      </c>
      <c r="X208" s="138">
        <f t="shared" ref="X208:X271" si="73">180/PI()*IMARGUMENT(Y208)</f>
        <v>-50.454949073122719</v>
      </c>
      <c r="Y208" s="128" t="str">
        <f t="shared" ref="Y208:Y271" si="74">IMDIV(10^(DCGAIN/20),IMPRODUCT(COMPLEX(1,2*PI()*C208/(2*PI()*(GBWP*10^6/10^(DCGAIN/20)))),COMPLEX(1,2*PI()*C208/(2*PI()*EAP*10^6))))</f>
        <v>405.545665094165-491.178848683031i</v>
      </c>
      <c r="Z208" s="128" t="str">
        <f t="shared" ref="Z208:Z271" si="75">IMDIV(1,COMPLEX(0,2*PI()*C208*C_3*10^-12))</f>
        <v>-3652909.27118207i</v>
      </c>
      <c r="AA208" s="128" t="str">
        <f t="shared" si="51"/>
        <v>64900-301576.468195337i</v>
      </c>
      <c r="AB208" s="128" t="str">
        <f t="shared" si="52"/>
        <v>5900-552890.191691452i</v>
      </c>
      <c r="AC208" s="128" t="str">
        <f t="shared" si="53"/>
        <v>58352.6094268918-286627.217711884i</v>
      </c>
      <c r="AD208" s="128" t="str">
        <f t="shared" si="54"/>
        <v>105605.451378361-20963.7862796821i</v>
      </c>
      <c r="AE208" s="128" t="str">
        <f t="shared" si="55"/>
        <v>-1.06511819535701+2.43516866814658i</v>
      </c>
      <c r="AF208" s="130"/>
      <c r="AG208" s="130"/>
      <c r="AH208" s="130"/>
      <c r="AI208" s="130"/>
      <c r="AJ208" s="130"/>
      <c r="AK208" s="130"/>
      <c r="AL208" s="130"/>
      <c r="AM208" s="130"/>
      <c r="AN208" s="130"/>
      <c r="AO208" s="130"/>
      <c r="AP208" s="130"/>
      <c r="AQ208" s="130"/>
      <c r="AR208" s="130"/>
      <c r="AS208" s="130"/>
    </row>
    <row r="209" spans="1:45" s="166" customFormat="1" x14ac:dyDescent="0.2">
      <c r="A209" s="132">
        <f t="shared" ref="A209:A272" si="76">ROUND(ABS(D209),3)</f>
        <v>20.888000000000002</v>
      </c>
      <c r="B209" s="132">
        <f t="shared" ref="B209:B272" si="77">LOG(C209)</f>
        <v>3.5800000000000027</v>
      </c>
      <c r="C209" s="146">
        <f t="shared" si="56"/>
        <v>3801.8939632056372</v>
      </c>
      <c r="D209" s="137">
        <f t="shared" si="57"/>
        <v>20.888035972835688</v>
      </c>
      <c r="E209" s="132">
        <f t="shared" si="58"/>
        <v>112.15261140838598</v>
      </c>
      <c r="G209" s="146"/>
      <c r="H209" s="184" t="str">
        <f t="shared" si="59"/>
        <v>0.5-0.190281887530246i</v>
      </c>
      <c r="I209" s="132" t="str">
        <f t="shared" si="60"/>
        <v>0.01-0.951409437651229i</v>
      </c>
      <c r="J209" s="132" t="str">
        <f t="shared" si="61"/>
        <v>0.291323836904232-0.284324784879948i</v>
      </c>
      <c r="K209" s="132"/>
      <c r="L209" s="132" t="str">
        <f t="shared" si="62"/>
        <v>0.272557335596278-0.188297050421471i</v>
      </c>
      <c r="M209" s="132" t="str">
        <f t="shared" si="63"/>
        <v>0.009+0.0788304141539258i</v>
      </c>
      <c r="N209" s="132" t="str">
        <f t="shared" si="64"/>
        <v>1.06679216221339-0.254011854018751i</v>
      </c>
      <c r="O209" s="185">
        <f t="shared" si="65"/>
        <v>0.80109476846144345</v>
      </c>
      <c r="P209" s="185">
        <f t="shared" si="66"/>
        <v>-13.393195107847488</v>
      </c>
      <c r="Q209" s="132">
        <f t="shared" si="67"/>
        <v>23888.004289068427</v>
      </c>
      <c r="R209" s="132">
        <f t="shared" ref="R209:R272" si="78">R208+0.02</f>
        <v>3.5800000000000023</v>
      </c>
      <c r="S209" s="164">
        <f t="shared" si="68"/>
        <v>15.848048507838461</v>
      </c>
      <c r="T209" s="132" t="str">
        <f t="shared" si="69"/>
        <v>1+0.332234363652364i</v>
      </c>
      <c r="U209" s="138">
        <f t="shared" si="70"/>
        <v>5.0399874649972247</v>
      </c>
      <c r="V209" s="132">
        <f t="shared" si="71"/>
        <v>125.54580651623347</v>
      </c>
      <c r="W209" s="132">
        <f t="shared" si="72"/>
        <v>55.840181616170725</v>
      </c>
      <c r="X209" s="138">
        <f t="shared" si="73"/>
        <v>-51.74550437032044</v>
      </c>
      <c r="Y209" s="128" t="str">
        <f t="shared" si="74"/>
        <v>383.538408984938-486.437643267141i</v>
      </c>
      <c r="Z209" s="128" t="str">
        <f t="shared" si="75"/>
        <v>-3488501.27138784i</v>
      </c>
      <c r="AA209" s="128" t="str">
        <f t="shared" si="51"/>
        <v>64900-288003.291245077i</v>
      </c>
      <c r="AB209" s="128" t="str">
        <f t="shared" si="52"/>
        <v>5900-528006.033949308i</v>
      </c>
      <c r="AC209" s="128" t="str">
        <f t="shared" si="53"/>
        <v>58351.9119794704-273786.705025851i</v>
      </c>
      <c r="AD209" s="128" t="str">
        <f t="shared" si="54"/>
        <v>105200.962528213-21862.9917364318i</v>
      </c>
      <c r="AE209" s="128" t="str">
        <f t="shared" si="55"/>
        <v>-1.06092049426127+2.31760201671119i</v>
      </c>
      <c r="AF209" s="130"/>
      <c r="AG209" s="130"/>
      <c r="AH209" s="130"/>
      <c r="AI209" s="130"/>
      <c r="AJ209" s="130"/>
      <c r="AK209" s="130"/>
      <c r="AL209" s="130"/>
      <c r="AM209" s="130"/>
      <c r="AN209" s="130"/>
      <c r="AO209" s="130"/>
      <c r="AP209" s="130"/>
      <c r="AQ209" s="130"/>
      <c r="AR209" s="130"/>
      <c r="AS209" s="130"/>
    </row>
    <row r="210" spans="1:45" s="166" customFormat="1" x14ac:dyDescent="0.2">
      <c r="A210" s="132">
        <f t="shared" si="76"/>
        <v>20.625</v>
      </c>
      <c r="B210" s="132">
        <f t="shared" si="77"/>
        <v>3.6000000000000028</v>
      </c>
      <c r="C210" s="146">
        <f t="shared" si="56"/>
        <v>3981.0717055349983</v>
      </c>
      <c r="D210" s="137">
        <f t="shared" si="57"/>
        <v>20.625232246268428</v>
      </c>
      <c r="E210" s="132">
        <f t="shared" si="58"/>
        <v>112.82205921802057</v>
      </c>
      <c r="G210" s="146"/>
      <c r="H210" s="184" t="str">
        <f t="shared" si="59"/>
        <v>0.5-0.18171779184555i</v>
      </c>
      <c r="I210" s="132" t="str">
        <f t="shared" si="60"/>
        <v>0.01-0.908588959227746i</v>
      </c>
      <c r="J210" s="132" t="str">
        <f t="shared" si="61"/>
        <v>0.28687701653406-0.281034724857796i</v>
      </c>
      <c r="K210" s="132"/>
      <c r="L210" s="132" t="str">
        <f t="shared" si="62"/>
        <v>0.269048563443532-0.187207412671358i</v>
      </c>
      <c r="M210" s="132" t="str">
        <f t="shared" si="63"/>
        <v>0.009+0.0825455771152514i</v>
      </c>
      <c r="N210" s="132" t="str">
        <f t="shared" si="64"/>
        <v>1.06952843543721-0.270703083327868i</v>
      </c>
      <c r="O210" s="185">
        <f t="shared" si="65"/>
        <v>0.85351679747620124</v>
      </c>
      <c r="P210" s="185">
        <f t="shared" si="66"/>
        <v>-14.203563707306721</v>
      </c>
      <c r="Q210" s="132">
        <f t="shared" si="67"/>
        <v>25013.811247045876</v>
      </c>
      <c r="R210" s="132">
        <f t="shared" si="78"/>
        <v>3.6000000000000023</v>
      </c>
      <c r="S210" s="164">
        <f t="shared" si="68"/>
        <v>15.90047053685322</v>
      </c>
      <c r="T210" s="132" t="str">
        <f t="shared" si="69"/>
        <v>1+0.347892086823914i</v>
      </c>
      <c r="U210" s="138">
        <f t="shared" si="70"/>
        <v>4.7247617094152092</v>
      </c>
      <c r="V210" s="132">
        <f t="shared" si="71"/>
        <v>127.0256229253273</v>
      </c>
      <c r="W210" s="132">
        <f t="shared" si="72"/>
        <v>55.589347143082144</v>
      </c>
      <c r="X210" s="138">
        <f t="shared" si="73"/>
        <v>-53.022375739189329</v>
      </c>
      <c r="Y210" s="128" t="str">
        <f t="shared" si="74"/>
        <v>361.997204630889-480.777050053721i</v>
      </c>
      <c r="Z210" s="128" t="str">
        <f t="shared" si="75"/>
        <v>-3331492.85050173i</v>
      </c>
      <c r="AA210" s="128" t="str">
        <f t="shared" si="51"/>
        <v>64900-275041.007888821i</v>
      </c>
      <c r="AB210" s="128" t="str">
        <f t="shared" si="52"/>
        <v>5900-504241.847796172i</v>
      </c>
      <c r="AC210" s="128" t="str">
        <f t="shared" si="53"/>
        <v>58351.1472627421-261526.929078374i</v>
      </c>
      <c r="AD210" s="128" t="str">
        <f t="shared" si="54"/>
        <v>104761.193501576-22792.281872405i</v>
      </c>
      <c r="AE210" s="128" t="str">
        <f t="shared" si="55"/>
        <v>-1.05713746983104+2.20493720677804i</v>
      </c>
      <c r="AF210" s="130"/>
      <c r="AG210" s="130"/>
      <c r="AH210" s="130"/>
      <c r="AI210" s="130"/>
      <c r="AJ210" s="130"/>
      <c r="AK210" s="130"/>
      <c r="AL210" s="130"/>
      <c r="AM210" s="130"/>
      <c r="AN210" s="130"/>
      <c r="AO210" s="130"/>
      <c r="AP210" s="130"/>
      <c r="AQ210" s="130"/>
      <c r="AR210" s="130"/>
      <c r="AS210" s="130"/>
    </row>
    <row r="211" spans="1:45" s="166" customFormat="1" x14ac:dyDescent="0.2">
      <c r="A211" s="132">
        <f t="shared" si="76"/>
        <v>20.373999999999999</v>
      </c>
      <c r="B211" s="132">
        <f t="shared" si="77"/>
        <v>3.6200000000000028</v>
      </c>
      <c r="C211" s="146">
        <f t="shared" si="56"/>
        <v>4168.6938347033802</v>
      </c>
      <c r="D211" s="137">
        <f t="shared" si="57"/>
        <v>20.373825907573959</v>
      </c>
      <c r="E211" s="132">
        <f t="shared" si="58"/>
        <v>113.49357461448029</v>
      </c>
      <c r="G211" s="146"/>
      <c r="H211" s="184" t="str">
        <f t="shared" si="59"/>
        <v>0.5-0.173539143960686i</v>
      </c>
      <c r="I211" s="132" t="str">
        <f t="shared" si="60"/>
        <v>0.01-0.867695719803431i</v>
      </c>
      <c r="J211" s="132" t="str">
        <f t="shared" si="61"/>
        <v>0.282159891772324-0.27801673504327i</v>
      </c>
      <c r="K211" s="132"/>
      <c r="L211" s="132" t="str">
        <f t="shared" si="62"/>
        <v>0.265410588265346-0.18633229144865i</v>
      </c>
      <c r="M211" s="132" t="str">
        <f t="shared" si="63"/>
        <v>0.009+0.0864358303127167i</v>
      </c>
      <c r="N211" s="132" t="str">
        <f t="shared" si="64"/>
        <v>1.0722901502219-0.288670712858813i</v>
      </c>
      <c r="O211" s="185">
        <f t="shared" si="65"/>
        <v>0.91011310094898257</v>
      </c>
      <c r="P211" s="185">
        <f t="shared" si="66"/>
        <v>-15.067352759325434</v>
      </c>
      <c r="Q211" s="132">
        <f t="shared" si="67"/>
        <v>26192.675852338405</v>
      </c>
      <c r="R211" s="132">
        <f t="shared" si="78"/>
        <v>3.6200000000000023</v>
      </c>
      <c r="S211" s="164">
        <f t="shared" si="68"/>
        <v>15.957066840326</v>
      </c>
      <c r="T211" s="132" t="str">
        <f t="shared" si="69"/>
        <v>1+0.364287735754323i</v>
      </c>
      <c r="U211" s="138">
        <f t="shared" si="70"/>
        <v>4.4167590672479609</v>
      </c>
      <c r="V211" s="132">
        <f t="shared" si="71"/>
        <v>128.56092737380573</v>
      </c>
      <c r="W211" s="132">
        <f t="shared" si="72"/>
        <v>55.330004335990395</v>
      </c>
      <c r="X211" s="138">
        <f t="shared" si="73"/>
        <v>-54.283211493432269</v>
      </c>
      <c r="Y211" s="128" t="str">
        <f t="shared" si="74"/>
        <v>340.995610296468-474.252302078959i</v>
      </c>
      <c r="Z211" s="128" t="str">
        <f t="shared" si="75"/>
        <v>-3181550.97261258i</v>
      </c>
      <c r="AA211" s="128" t="str">
        <f t="shared" si="51"/>
        <v>64900-262662.123385688i</v>
      </c>
      <c r="AB211" s="128" t="str">
        <f t="shared" si="52"/>
        <v>5900-481547.226207093i</v>
      </c>
      <c r="AC211" s="128" t="str">
        <f t="shared" si="53"/>
        <v>58350.3087905602-249821.885008438i</v>
      </c>
      <c r="AD211" s="128" t="str">
        <f t="shared" si="54"/>
        <v>104283.438337873-23751.4617069786i</v>
      </c>
      <c r="AE211" s="128" t="str">
        <f t="shared" si="55"/>
        <v>-1.0537370769798+2.09693732161173i</v>
      </c>
      <c r="AF211" s="130"/>
      <c r="AG211" s="130"/>
      <c r="AH211" s="130"/>
      <c r="AI211" s="130"/>
      <c r="AJ211" s="130"/>
      <c r="AK211" s="130"/>
      <c r="AL211" s="130"/>
      <c r="AM211" s="130"/>
      <c r="AN211" s="130"/>
      <c r="AO211" s="130"/>
      <c r="AP211" s="130"/>
      <c r="AQ211" s="130"/>
      <c r="AR211" s="130"/>
      <c r="AS211" s="130"/>
    </row>
    <row r="212" spans="1:45" s="166" customFormat="1" x14ac:dyDescent="0.2">
      <c r="A212" s="132">
        <f t="shared" si="76"/>
        <v>20.135000000000002</v>
      </c>
      <c r="B212" s="132">
        <f t="shared" si="77"/>
        <v>3.6400000000000028</v>
      </c>
      <c r="C212" s="146">
        <f t="shared" si="56"/>
        <v>4365.1583224016858</v>
      </c>
      <c r="D212" s="137">
        <f t="shared" si="57"/>
        <v>20.134727208381968</v>
      </c>
      <c r="E212" s="132">
        <f t="shared" si="58"/>
        <v>114.16226929988906</v>
      </c>
      <c r="G212" s="146"/>
      <c r="H212" s="184" t="str">
        <f t="shared" si="59"/>
        <v>0.5-0.165728595866962i</v>
      </c>
      <c r="I212" s="132" t="str">
        <f t="shared" si="60"/>
        <v>0.01-0.828642979334808i</v>
      </c>
      <c r="J212" s="132" t="str">
        <f t="shared" si="61"/>
        <v>0.277168892413906-0.275235112704958i</v>
      </c>
      <c r="K212" s="132"/>
      <c r="L212" s="132" t="str">
        <f t="shared" si="62"/>
        <v>0.261629371237275-0.185652831446209i</v>
      </c>
      <c r="M212" s="132" t="str">
        <f t="shared" si="63"/>
        <v>0.009+0.090509425494929i</v>
      </c>
      <c r="N212" s="132" t="str">
        <f t="shared" si="64"/>
        <v>1.07504582859448-0.308057138731331i</v>
      </c>
      <c r="O212" s="185">
        <f t="shared" si="65"/>
        <v>0.97126319188763</v>
      </c>
      <c r="P212" s="185">
        <f t="shared" si="66"/>
        <v>-15.989790984624129</v>
      </c>
      <c r="Q212" s="132">
        <f t="shared" si="67"/>
        <v>27427.098634826965</v>
      </c>
      <c r="R212" s="132">
        <f t="shared" si="78"/>
        <v>3.6400000000000023</v>
      </c>
      <c r="S212" s="164">
        <f t="shared" si="68"/>
        <v>16.018216931264647</v>
      </c>
      <c r="T212" s="132" t="str">
        <f t="shared" si="69"/>
        <v>1+0.381456087813173i</v>
      </c>
      <c r="U212" s="138">
        <f t="shared" si="70"/>
        <v>4.1165102771173228</v>
      </c>
      <c r="V212" s="132">
        <f t="shared" si="71"/>
        <v>130.1520602845132</v>
      </c>
      <c r="W212" s="132">
        <f t="shared" si="72"/>
        <v>55.06238234591757</v>
      </c>
      <c r="X212" s="138">
        <f t="shared" si="73"/>
        <v>-55.525814599880945</v>
      </c>
      <c r="Y212" s="128" t="str">
        <f t="shared" si="74"/>
        <v>320.599103257119-466.925130328176i</v>
      </c>
      <c r="Z212" s="128" t="str">
        <f t="shared" si="75"/>
        <v>-3038357.5908943i</v>
      </c>
      <c r="AA212" s="128" t="str">
        <f t="shared" si="51"/>
        <v>64900-250840.380461979i</v>
      </c>
      <c r="AB212" s="128" t="str">
        <f t="shared" si="52"/>
        <v>5900-459874.030846962i</v>
      </c>
      <c r="AC212" s="128" t="str">
        <f t="shared" si="53"/>
        <v>58349.3894517907-238646.744581283i</v>
      </c>
      <c r="AD212" s="128" t="str">
        <f t="shared" si="54"/>
        <v>103764.85365723-24740.1370282183i</v>
      </c>
      <c r="AE212" s="128" t="str">
        <f t="shared" si="55"/>
        <v>-1.05069050595929+1.99337510962519i</v>
      </c>
      <c r="AF212" s="130"/>
      <c r="AG212" s="130"/>
      <c r="AH212" s="130"/>
      <c r="AI212" s="130"/>
      <c r="AJ212" s="130"/>
      <c r="AK212" s="130"/>
      <c r="AL212" s="130"/>
      <c r="AM212" s="130"/>
      <c r="AN212" s="130"/>
      <c r="AO212" s="130"/>
      <c r="AP212" s="130"/>
      <c r="AQ212" s="130"/>
      <c r="AR212" s="130"/>
      <c r="AS212" s="130"/>
    </row>
    <row r="213" spans="1:45" s="166" customFormat="1" x14ac:dyDescent="0.2">
      <c r="A213" s="132">
        <f t="shared" si="76"/>
        <v>19.908999999999999</v>
      </c>
      <c r="B213" s="132">
        <f t="shared" si="77"/>
        <v>3.6600000000000024</v>
      </c>
      <c r="C213" s="146">
        <f t="shared" si="56"/>
        <v>4570.8818961487768</v>
      </c>
      <c r="D213" s="137">
        <f t="shared" si="57"/>
        <v>19.908886931792527</v>
      </c>
      <c r="E213" s="132">
        <f t="shared" si="58"/>
        <v>114.82230277465892</v>
      </c>
      <c r="G213" s="146"/>
      <c r="H213" s="184" t="str">
        <f t="shared" si="59"/>
        <v>0.5-0.158269580344691i</v>
      </c>
      <c r="I213" s="132" t="str">
        <f t="shared" si="60"/>
        <v>0.01-0.791347901723456i</v>
      </c>
      <c r="J213" s="132" t="str">
        <f t="shared" si="61"/>
        <v>0.271902475472932-0.272653534389163i</v>
      </c>
      <c r="K213" s="132"/>
      <c r="L213" s="132" t="str">
        <f t="shared" si="62"/>
        <v>0.257692016167664-0.185149008543782i</v>
      </c>
      <c r="M213" s="132" t="str">
        <f t="shared" si="63"/>
        <v>0.009+0.094775003303426i</v>
      </c>
      <c r="N213" s="132" t="str">
        <f t="shared" si="64"/>
        <v>1.07775010496038-0.329025278563767i</v>
      </c>
      <c r="O213" s="185">
        <f t="shared" si="65"/>
        <v>1.0373632234506731</v>
      </c>
      <c r="P213" s="185">
        <f t="shared" si="66"/>
        <v>-16.976855190188484</v>
      </c>
      <c r="Q213" s="132">
        <f t="shared" si="67"/>
        <v>28719.69797073516</v>
      </c>
      <c r="R213" s="132">
        <f t="shared" si="78"/>
        <v>3.6600000000000024</v>
      </c>
      <c r="S213" s="164">
        <f t="shared" si="68"/>
        <v>16.084316962827689</v>
      </c>
      <c r="T213" s="132" t="str">
        <f t="shared" si="69"/>
        <v>1+0.399433559376985i</v>
      </c>
      <c r="U213" s="138">
        <f t="shared" si="70"/>
        <v>3.8245699689648376</v>
      </c>
      <c r="V213" s="132">
        <f t="shared" si="71"/>
        <v>131.79915796484741</v>
      </c>
      <c r="W213" s="132">
        <f t="shared" si="72"/>
        <v>54.786734786963869</v>
      </c>
      <c r="X213" s="138">
        <f t="shared" si="73"/>
        <v>-56.74815806594993</v>
      </c>
      <c r="Y213" s="128" t="str">
        <f t="shared" si="74"/>
        <v>300.864479089976-458.862421649649i</v>
      </c>
      <c r="Z213" s="128" t="str">
        <f t="shared" si="75"/>
        <v>-2901608.97298601i</v>
      </c>
      <c r="AA213" s="128" t="str">
        <f t="shared" si="51"/>
        <v>64900-239550.703615986i</v>
      </c>
      <c r="AB213" s="128" t="str">
        <f t="shared" si="52"/>
        <v>5900-439176.289962642i</v>
      </c>
      <c r="AC213" s="128" t="str">
        <f t="shared" si="53"/>
        <v>58348.3814501708-227977.803519288i</v>
      </c>
      <c r="AD213" s="128" t="str">
        <f t="shared" si="54"/>
        <v>103202.465437049-25757.6877502114i</v>
      </c>
      <c r="AE213" s="128" t="str">
        <f t="shared" si="55"/>
        <v>-1.04797193970526+1.89403253725173i</v>
      </c>
      <c r="AF213" s="130"/>
      <c r="AG213" s="130"/>
      <c r="AH213" s="130"/>
      <c r="AI213" s="130"/>
      <c r="AJ213" s="130"/>
      <c r="AK213" s="130"/>
      <c r="AL213" s="130"/>
      <c r="AM213" s="130"/>
      <c r="AN213" s="130"/>
      <c r="AO213" s="130"/>
      <c r="AP213" s="130"/>
      <c r="AQ213" s="130"/>
      <c r="AR213" s="130"/>
      <c r="AS213" s="130"/>
    </row>
    <row r="214" spans="1:45" s="166" customFormat="1" x14ac:dyDescent="0.2">
      <c r="A214" s="132">
        <f t="shared" si="76"/>
        <v>19.696999999999999</v>
      </c>
      <c r="B214" s="132">
        <f t="shared" si="77"/>
        <v>3.6800000000000024</v>
      </c>
      <c r="C214" s="146">
        <f t="shared" si="56"/>
        <v>4786.3009232264103</v>
      </c>
      <c r="D214" s="137">
        <f t="shared" si="57"/>
        <v>19.697289924525307</v>
      </c>
      <c r="E214" s="132">
        <f t="shared" si="58"/>
        <v>115.46673408015161</v>
      </c>
      <c r="G214" s="146"/>
      <c r="H214" s="184" t="str">
        <f t="shared" si="59"/>
        <v>0.5-0.151146275821904i</v>
      </c>
      <c r="I214" s="132" t="str">
        <f t="shared" si="60"/>
        <v>0.01-0.75573137910952i</v>
      </c>
      <c r="J214" s="132" t="str">
        <f t="shared" si="61"/>
        <v>0.266361383201858-0.270235226961937i</v>
      </c>
      <c r="K214" s="132"/>
      <c r="L214" s="132" t="str">
        <f t="shared" si="62"/>
        <v>0.253586927302637-0.184799633402986i</v>
      </c>
      <c r="M214" s="132" t="str">
        <f t="shared" si="63"/>
        <v>0.009+0.0992416116006357i</v>
      </c>
      <c r="N214" s="132" t="str">
        <f t="shared" si="64"/>
        <v>1.08033915514134-0.351761427586282i</v>
      </c>
      <c r="O214" s="185">
        <f t="shared" si="65"/>
        <v>1.1088210146374236</v>
      </c>
      <c r="P214" s="185">
        <f t="shared" si="66"/>
        <v>-18.035393154154342</v>
      </c>
      <c r="Q214" s="132">
        <f t="shared" si="67"/>
        <v>30073.21563655627</v>
      </c>
      <c r="R214" s="132">
        <f t="shared" si="78"/>
        <v>3.6800000000000024</v>
      </c>
      <c r="S214" s="164">
        <f t="shared" si="68"/>
        <v>16.155774754014441</v>
      </c>
      <c r="T214" s="132" t="str">
        <f t="shared" si="69"/>
        <v>1+0.418258283073225i</v>
      </c>
      <c r="U214" s="138">
        <f t="shared" si="70"/>
        <v>3.5415151705108676</v>
      </c>
      <c r="V214" s="132">
        <f t="shared" si="71"/>
        <v>133.50212723430596</v>
      </c>
      <c r="W214" s="132">
        <f t="shared" si="72"/>
        <v>54.5033361856092</v>
      </c>
      <c r="X214" s="138">
        <f t="shared" si="73"/>
        <v>-57.948396734010345</v>
      </c>
      <c r="Y214" s="128" t="str">
        <f t="shared" si="74"/>
        <v>281.839496822595-450.134844597226i</v>
      </c>
      <c r="Z214" s="128" t="str">
        <f t="shared" si="75"/>
        <v>-2771015.05673492i</v>
      </c>
      <c r="AA214" s="128" t="str">
        <f t="shared" si="51"/>
        <v>64900-228769.145929485i</v>
      </c>
      <c r="AB214" s="128" t="str">
        <f t="shared" si="52"/>
        <v>5900-419410.100870723i</v>
      </c>
      <c r="AC214" s="128" t="str">
        <f t="shared" si="53"/>
        <v>58347.2762384013-217792.431216181i</v>
      </c>
      <c r="AD214" s="128" t="str">
        <f t="shared" si="54"/>
        <v>102593.179148584-26803.239693042i</v>
      </c>
      <c r="AE214" s="128" t="str">
        <f t="shared" si="55"/>
        <v>-1.04555833621709+1.79870035766264i</v>
      </c>
      <c r="AF214" s="130"/>
      <c r="AG214" s="130"/>
      <c r="AH214" s="130"/>
      <c r="AI214" s="130"/>
      <c r="AJ214" s="130"/>
      <c r="AK214" s="130"/>
      <c r="AL214" s="130"/>
      <c r="AM214" s="130"/>
      <c r="AN214" s="130"/>
      <c r="AO214" s="130"/>
      <c r="AP214" s="130"/>
      <c r="AQ214" s="130"/>
      <c r="AR214" s="130"/>
      <c r="AS214" s="130"/>
    </row>
    <row r="215" spans="1:45" s="166" customFormat="1" x14ac:dyDescent="0.2">
      <c r="A215" s="132">
        <f t="shared" si="76"/>
        <v>19.501000000000001</v>
      </c>
      <c r="B215" s="132">
        <f t="shared" si="77"/>
        <v>3.7000000000000024</v>
      </c>
      <c r="C215" s="146">
        <f t="shared" si="56"/>
        <v>5011.8723362727505</v>
      </c>
      <c r="D215" s="137">
        <f t="shared" si="57"/>
        <v>19.500945473887594</v>
      </c>
      <c r="E215" s="132">
        <f t="shared" si="58"/>
        <v>116.08735107096297</v>
      </c>
      <c r="G215" s="146"/>
      <c r="H215" s="184" t="str">
        <f t="shared" si="59"/>
        <v>0.5-0.14434357281467i</v>
      </c>
      <c r="I215" s="132" t="str">
        <f t="shared" si="60"/>
        <v>0.01-0.721717864073347i</v>
      </c>
      <c r="J215" s="132" t="str">
        <f t="shared" si="61"/>
        <v>0.260548883114047-0.26794319152059i</v>
      </c>
      <c r="K215" s="132"/>
      <c r="L215" s="132" t="str">
        <f t="shared" si="62"/>
        <v>0.249303983808092-0.184582380272384i</v>
      </c>
      <c r="M215" s="132" t="str">
        <f t="shared" si="63"/>
        <v>0.009+0.103918724661605i</v>
      </c>
      <c r="N215" s="132" t="str">
        <f t="shared" si="64"/>
        <v>1.08272469075653-0.376478315441552i</v>
      </c>
      <c r="O215" s="185">
        <f t="shared" si="65"/>
        <v>1.186048435714631</v>
      </c>
      <c r="P215" s="185">
        <f t="shared" si="66"/>
        <v>-19.173268551620261</v>
      </c>
      <c r="Q215" s="132">
        <f t="shared" si="67"/>
        <v>31490.522624728772</v>
      </c>
      <c r="R215" s="132">
        <f t="shared" si="78"/>
        <v>3.7000000000000024</v>
      </c>
      <c r="S215" s="164">
        <f t="shared" si="68"/>
        <v>16.233002175091649</v>
      </c>
      <c r="T215" s="132" t="str">
        <f t="shared" si="69"/>
        <v>1+0.437970188664728i</v>
      </c>
      <c r="U215" s="138">
        <f t="shared" si="70"/>
        <v>3.2679432987959443</v>
      </c>
      <c r="V215" s="132">
        <f t="shared" si="71"/>
        <v>135.26061962258322</v>
      </c>
      <c r="W215" s="132">
        <f t="shared" si="72"/>
        <v>54.212478335953811</v>
      </c>
      <c r="X215" s="138">
        <f t="shared" si="73"/>
        <v>-59.124875461721516</v>
      </c>
      <c r="Y215" s="128" t="str">
        <f t="shared" si="74"/>
        <v>263.562761024326-440.815490724232i</v>
      </c>
      <c r="Z215" s="128" t="str">
        <f t="shared" si="75"/>
        <v>-2646298.83493562i</v>
      </c>
      <c r="AA215" s="128" t="str">
        <f t="shared" si="51"/>
        <v>64900-218472.838273114i</v>
      </c>
      <c r="AB215" s="128" t="str">
        <f t="shared" si="52"/>
        <v>5900-400533.536834043i</v>
      </c>
      <c r="AC215" s="128" t="str">
        <f t="shared" si="53"/>
        <v>58346.064445916-208069.022727758i</v>
      </c>
      <c r="AD215" s="128" t="str">
        <f t="shared" si="54"/>
        <v>101933.793788146-27875.6350549301i</v>
      </c>
      <c r="AE215" s="128" t="str">
        <f t="shared" si="55"/>
        <v>-1.04342923417666+1.70717769500781i</v>
      </c>
      <c r="AF215" s="130"/>
      <c r="AG215" s="130"/>
      <c r="AH215" s="130"/>
      <c r="AI215" s="130"/>
      <c r="AJ215" s="130"/>
      <c r="AK215" s="130"/>
      <c r="AL215" s="130"/>
      <c r="AM215" s="130"/>
      <c r="AN215" s="130"/>
      <c r="AO215" s="130"/>
      <c r="AP215" s="130"/>
      <c r="AQ215" s="130"/>
      <c r="AR215" s="130"/>
      <c r="AS215" s="130"/>
    </row>
    <row r="216" spans="1:45" s="166" customFormat="1" x14ac:dyDescent="0.2">
      <c r="A216" s="132">
        <f t="shared" si="76"/>
        <v>19.321000000000002</v>
      </c>
      <c r="B216" s="132">
        <f t="shared" si="77"/>
        <v>3.7200000000000033</v>
      </c>
      <c r="C216" s="146">
        <f t="shared" si="56"/>
        <v>5248.0746024977634</v>
      </c>
      <c r="D216" s="137">
        <f t="shared" si="57"/>
        <v>19.320873427950602</v>
      </c>
      <c r="E216" s="132">
        <f t="shared" si="58"/>
        <v>116.67447413500294</v>
      </c>
      <c r="G216" s="146"/>
      <c r="H216" s="184" t="str">
        <f t="shared" si="59"/>
        <v>0.5-0.137847041877855i</v>
      </c>
      <c r="I216" s="132" t="str">
        <f t="shared" si="60"/>
        <v>0.01-0.689235209389272i</v>
      </c>
      <c r="J216" s="132" t="str">
        <f t="shared" si="61"/>
        <v>0.254470979315102-0.265740479724176i</v>
      </c>
      <c r="K216" s="132"/>
      <c r="L216" s="132" t="str">
        <f t="shared" si="62"/>
        <v>0.244834727188216-0.184473845892553i</v>
      </c>
      <c r="M216" s="132" t="str">
        <f t="shared" si="63"/>
        <v>0.009+0.108816263270208i</v>
      </c>
      <c r="N216" s="132" t="str">
        <f t="shared" si="64"/>
        <v>1.08478606446336-0.403418223058652i</v>
      </c>
      <c r="O216" s="185">
        <f t="shared" si="65"/>
        <v>1.2694500964797824</v>
      </c>
      <c r="P216" s="185">
        <f t="shared" si="66"/>
        <v>-20.399531449351667</v>
      </c>
      <c r="Q216" s="132">
        <f t="shared" si="67"/>
        <v>32974.625233396291</v>
      </c>
      <c r="R216" s="132">
        <f t="shared" si="78"/>
        <v>3.7200000000000024</v>
      </c>
      <c r="S216" s="164">
        <f t="shared" si="68"/>
        <v>16.3164038358568</v>
      </c>
      <c r="T216" s="132" t="str">
        <f t="shared" si="69"/>
        <v>1+0.458611087746076i</v>
      </c>
      <c r="U216" s="138">
        <f t="shared" si="70"/>
        <v>3.0044695920938036</v>
      </c>
      <c r="V216" s="132">
        <f t="shared" si="71"/>
        <v>137.07400558435461</v>
      </c>
      <c r="W216" s="132">
        <f t="shared" si="72"/>
        <v>53.914466652292205</v>
      </c>
      <c r="X216" s="138">
        <f t="shared" si="73"/>
        <v>-60.276133786068087</v>
      </c>
      <c r="Y216" s="128" t="str">
        <f t="shared" si="74"/>
        <v>246.0638226925-430.978573471046i</v>
      </c>
      <c r="Z216" s="128" t="str">
        <f t="shared" si="75"/>
        <v>-2527195.76776067i</v>
      </c>
      <c r="AA216" s="128" t="str">
        <f t="shared" si="51"/>
        <v>64900-208639.940797885i</v>
      </c>
      <c r="AB216" s="128" t="str">
        <f t="shared" si="52"/>
        <v>5900-382506.558129455i</v>
      </c>
      <c r="AC216" s="128" t="str">
        <f t="shared" si="53"/>
        <v>58344.735799729-198786.952937203i</v>
      </c>
      <c r="AD216" s="128" t="str">
        <f t="shared" si="54"/>
        <v>101221.020358118-28973.4019560394i</v>
      </c>
      <c r="AE216" s="128" t="str">
        <f t="shared" si="55"/>
        <v>-1.04156658019737+1.61927164383121i</v>
      </c>
      <c r="AF216" s="130"/>
      <c r="AG216" s="130"/>
      <c r="AH216" s="130"/>
      <c r="AI216" s="130"/>
      <c r="AJ216" s="130"/>
      <c r="AK216" s="130"/>
      <c r="AL216" s="130"/>
      <c r="AM216" s="130"/>
      <c r="AN216" s="130"/>
      <c r="AO216" s="130"/>
      <c r="AP216" s="130"/>
      <c r="AQ216" s="130"/>
      <c r="AR216" s="130"/>
      <c r="AS216" s="130"/>
    </row>
    <row r="217" spans="1:45" s="166" customFormat="1" x14ac:dyDescent="0.2">
      <c r="A217" s="132">
        <f t="shared" si="76"/>
        <v>19.158000000000001</v>
      </c>
      <c r="B217" s="132">
        <f t="shared" si="77"/>
        <v>3.7400000000000029</v>
      </c>
      <c r="C217" s="146">
        <f t="shared" si="56"/>
        <v>5495.4087385762832</v>
      </c>
      <c r="D217" s="137">
        <f t="shared" si="57"/>
        <v>19.158084568933401</v>
      </c>
      <c r="E217" s="132">
        <f t="shared" si="58"/>
        <v>117.21673133474687</v>
      </c>
      <c r="G217" s="146"/>
      <c r="H217" s="184" t="str">
        <f t="shared" si="59"/>
        <v>0.5-0.131642902998338i</v>
      </c>
      <c r="I217" s="132" t="str">
        <f t="shared" si="60"/>
        <v>0.01-0.658214514991688i</v>
      </c>
      <c r="J217" s="132" t="str">
        <f t="shared" si="61"/>
        <v>0.248136583885764-0.263590519743043i</v>
      </c>
      <c r="K217" s="132"/>
      <c r="L217" s="132" t="str">
        <f t="shared" si="62"/>
        <v>0.240172556683506-0.184449643008553i</v>
      </c>
      <c r="M217" s="132" t="str">
        <f t="shared" si="63"/>
        <v>0.009+0.113944615762457i</v>
      </c>
      <c r="N217" s="132" t="str">
        <f t="shared" si="64"/>
        <v>1.08635989704322-0.432855890327645i</v>
      </c>
      <c r="O217" s="185">
        <f t="shared" si="65"/>
        <v>1.3594068842500562</v>
      </c>
      <c r="P217" s="185">
        <f t="shared" si="66"/>
        <v>-21.724617926964608</v>
      </c>
      <c r="Q217" s="132">
        <f t="shared" si="67"/>
        <v>34528.671443168809</v>
      </c>
      <c r="R217" s="132">
        <f t="shared" si="78"/>
        <v>3.7400000000000024</v>
      </c>
      <c r="S217" s="164">
        <f t="shared" si="68"/>
        <v>16.406360623627073</v>
      </c>
      <c r="T217" s="132" t="str">
        <f t="shared" si="69"/>
        <v>1+0.480224762431592i</v>
      </c>
      <c r="U217" s="138">
        <f t="shared" si="70"/>
        <v>2.751723945306328</v>
      </c>
      <c r="V217" s="132">
        <f t="shared" si="71"/>
        <v>138.94134926171148</v>
      </c>
      <c r="W217" s="132">
        <f t="shared" si="72"/>
        <v>53.609616601650956</v>
      </c>
      <c r="X217" s="138">
        <f t="shared" si="73"/>
        <v>-61.400907271024167</v>
      </c>
      <c r="Y217" s="128" t="str">
        <f t="shared" si="74"/>
        <v>229.363473606683-420.698219764025i</v>
      </c>
      <c r="Z217" s="128" t="str">
        <f t="shared" si="75"/>
        <v>-2413453.22163619i</v>
      </c>
      <c r="AA217" s="128" t="str">
        <f t="shared" ref="AA217:AA280" si="79">IMSUM(R_3,IMDIV(1,COMPLEX(0,2*PI()*C208*C_2*10^-12)))</f>
        <v>64900-199249.596609931i</v>
      </c>
      <c r="AB217" s="128" t="str">
        <f t="shared" ref="AB217:AB280" si="80">IMSUM(R_2,IMDIV(1,COMPLEX(0,2*PI()*C208*C_1*10^-12)))</f>
        <v>5900-365290.927118207i</v>
      </c>
      <c r="AC217" s="128" t="str">
        <f t="shared" ref="AC217:AC280" si="81">IMDIV(IMPRODUCT(Z208,AA217),IMSUM(Z208,AA217))</f>
        <v>58343.2790377033-189926.532797597i</v>
      </c>
      <c r="AD217" s="128" t="str">
        <f t="shared" ref="AD217:AD280" si="82">IMDIV(IMPRODUCT(AB217,R_1),IMSUM(AB217,R_1))</f>
        <v>100451.505357081-30094.7235607861i</v>
      </c>
      <c r="AE217" s="128" t="str">
        <f t="shared" ref="AE217:AE280" si="83">IMDIV(IMPRODUCT(-1,Y208),IMSUM(1,IMDIV(AD217,R_4),IMPRODUCT(IMDIV(AD217,AC217),IMSUM(1,Y208))))</f>
        <v>-1.03995457626915+1.53479688329629i</v>
      </c>
      <c r="AF217" s="130"/>
      <c r="AG217" s="130"/>
      <c r="AH217" s="130"/>
      <c r="AI217" s="130"/>
      <c r="AJ217" s="130"/>
      <c r="AK217" s="130"/>
      <c r="AL217" s="130"/>
      <c r="AM217" s="130"/>
      <c r="AN217" s="130"/>
      <c r="AO217" s="130"/>
      <c r="AP217" s="130"/>
      <c r="AQ217" s="130"/>
      <c r="AR217" s="130"/>
      <c r="AS217" s="130"/>
    </row>
    <row r="218" spans="1:45" s="166" customFormat="1" x14ac:dyDescent="0.2">
      <c r="A218" s="132">
        <f t="shared" si="76"/>
        <v>19.013999999999999</v>
      </c>
      <c r="B218" s="132">
        <f t="shared" si="77"/>
        <v>3.7600000000000029</v>
      </c>
      <c r="C218" s="146">
        <f t="shared" si="56"/>
        <v>5754.3993733716079</v>
      </c>
      <c r="D218" s="137">
        <f t="shared" si="57"/>
        <v>19.013553222992133</v>
      </c>
      <c r="E218" s="132">
        <f t="shared" si="58"/>
        <v>117.70080245963227</v>
      </c>
      <c r="G218" s="146"/>
      <c r="H218" s="184" t="str">
        <f t="shared" si="59"/>
        <v>0.5-0.125717996365752i</v>
      </c>
      <c r="I218" s="132" t="str">
        <f t="shared" si="60"/>
        <v>0.01-0.62858998182876i</v>
      </c>
      <c r="J218" s="132" t="str">
        <f t="shared" si="61"/>
        <v>0.241557637046222-0.261457486392664i</v>
      </c>
      <c r="K218" s="132"/>
      <c r="L218" s="132" t="str">
        <f t="shared" si="62"/>
        <v>0.235312926447647-0.184484532312066i</v>
      </c>
      <c r="M218" s="132" t="str">
        <f t="shared" si="63"/>
        <v>0.009+0.119314660061559i</v>
      </c>
      <c r="N218" s="132" t="str">
        <f t="shared" si="64"/>
        <v>1.08722647560168-0.465100735527742i</v>
      </c>
      <c r="O218" s="185">
        <f t="shared" si="65"/>
        <v>1.4562523606500608</v>
      </c>
      <c r="P218" s="185">
        <f t="shared" si="66"/>
        <v>-23.160581947605511</v>
      </c>
      <c r="Q218" s="132">
        <f t="shared" si="67"/>
        <v>36155.957594411906</v>
      </c>
      <c r="R218" s="132">
        <f t="shared" si="78"/>
        <v>3.7600000000000025</v>
      </c>
      <c r="S218" s="164">
        <f t="shared" si="68"/>
        <v>16.503206100027079</v>
      </c>
      <c r="T218" s="132" t="str">
        <f t="shared" si="69"/>
        <v>1+0.502857058223081i</v>
      </c>
      <c r="U218" s="138">
        <f t="shared" si="70"/>
        <v>2.5103471229650549</v>
      </c>
      <c r="V218" s="132">
        <f t="shared" si="71"/>
        <v>140.86138440723778</v>
      </c>
      <c r="W218" s="132">
        <f t="shared" si="72"/>
        <v>53.298250287731513</v>
      </c>
      <c r="X218" s="138">
        <f t="shared" si="73"/>
        <v>-62.498125821005274</v>
      </c>
      <c r="Y218" s="128" t="str">
        <f t="shared" si="74"/>
        <v>213.474203896788-410.047381458351i</v>
      </c>
      <c r="Z218" s="128" t="str">
        <f t="shared" si="75"/>
        <v>-2304829.93337211i</v>
      </c>
      <c r="AA218" s="128" t="str">
        <f t="shared" si="79"/>
        <v>64900-190281.887530246i</v>
      </c>
      <c r="AB218" s="128" t="str">
        <f t="shared" si="80"/>
        <v>5900-348850.127138784i</v>
      </c>
      <c r="AC218" s="128" t="str">
        <f t="shared" si="81"/>
        <v>58341.6818135143-181468.967558656i</v>
      </c>
      <c r="AD218" s="128" t="str">
        <f t="shared" si="82"/>
        <v>99621.8598205703-31237.4074293195i</v>
      </c>
      <c r="AE218" s="128" t="str">
        <f t="shared" si="83"/>
        <v>-1.038579546128+1.45357530584812i</v>
      </c>
      <c r="AF218" s="130"/>
      <c r="AG218" s="130"/>
      <c r="AH218" s="130"/>
      <c r="AI218" s="130"/>
      <c r="AJ218" s="130"/>
      <c r="AK218" s="130"/>
      <c r="AL218" s="130"/>
      <c r="AM218" s="130"/>
      <c r="AN218" s="130"/>
      <c r="AO218" s="130"/>
      <c r="AP218" s="130"/>
      <c r="AQ218" s="130"/>
      <c r="AR218" s="130"/>
      <c r="AS218" s="130"/>
    </row>
    <row r="219" spans="1:45" s="166" customFormat="1" x14ac:dyDescent="0.2">
      <c r="A219" s="132">
        <f t="shared" si="76"/>
        <v>18.888000000000002</v>
      </c>
      <c r="B219" s="132">
        <f t="shared" si="77"/>
        <v>3.7800000000000029</v>
      </c>
      <c r="C219" s="146">
        <f t="shared" si="56"/>
        <v>6025.5958607436169</v>
      </c>
      <c r="D219" s="137">
        <f t="shared" si="57"/>
        <v>18.888179381717741</v>
      </c>
      <c r="E219" s="132">
        <f t="shared" si="58"/>
        <v>118.11113085488432</v>
      </c>
      <c r="G219" s="146"/>
      <c r="H219" s="184" t="str">
        <f t="shared" si="59"/>
        <v>0.5-0.120059754458763i</v>
      </c>
      <c r="I219" s="132" t="str">
        <f t="shared" si="60"/>
        <v>0.01-0.600298772293814i</v>
      </c>
      <c r="J219" s="132" t="str">
        <f t="shared" si="61"/>
        <v>0.234749165481755-0.259306707232669i</v>
      </c>
      <c r="K219" s="132"/>
      <c r="L219" s="132" t="str">
        <f t="shared" si="62"/>
        <v>0.230253537107885-0.184552595610547i</v>
      </c>
      <c r="M219" s="132" t="str">
        <f t="shared" si="63"/>
        <v>0.009+0.124937786751447i</v>
      </c>
      <c r="N219" s="132" t="str">
        <f t="shared" si="64"/>
        <v>1.0870919916837-0.500497571578507i</v>
      </c>
      <c r="O219" s="185">
        <f t="shared" si="65"/>
        <v>1.5602393039550382</v>
      </c>
      <c r="P219" s="185">
        <f t="shared" si="66"/>
        <v>-24.721361300096138</v>
      </c>
      <c r="Q219" s="132">
        <f t="shared" si="67"/>
        <v>37859.935379226423</v>
      </c>
      <c r="R219" s="132">
        <f t="shared" si="78"/>
        <v>3.7800000000000025</v>
      </c>
      <c r="S219" s="164">
        <f t="shared" si="68"/>
        <v>16.607193043332057</v>
      </c>
      <c r="T219" s="132" t="str">
        <f t="shared" si="69"/>
        <v>1+0.526555981254281i</v>
      </c>
      <c r="U219" s="138">
        <f t="shared" si="70"/>
        <v>2.2809863383856857</v>
      </c>
      <c r="V219" s="132">
        <f t="shared" si="71"/>
        <v>142.83249215498046</v>
      </c>
      <c r="W219" s="132">
        <f t="shared" si="72"/>
        <v>52.980693244991492</v>
      </c>
      <c r="X219" s="138">
        <f t="shared" si="73"/>
        <v>-63.566909302912357</v>
      </c>
      <c r="Y219" s="128" t="str">
        <f t="shared" si="74"/>
        <v>198.400789885343-399.09688546776i</v>
      </c>
      <c r="Z219" s="128" t="str">
        <f t="shared" si="75"/>
        <v>-2201095.49841065i</v>
      </c>
      <c r="AA219" s="128" t="str">
        <f t="shared" si="79"/>
        <v>64900-181717.79184555i</v>
      </c>
      <c r="AB219" s="128" t="str">
        <f t="shared" si="80"/>
        <v>5900-333149.285050175i</v>
      </c>
      <c r="AC219" s="128" t="str">
        <f t="shared" si="81"/>
        <v>58339.9305925286-173396.316888889i</v>
      </c>
      <c r="AD219" s="128" t="str">
        <f t="shared" si="82"/>
        <v>98728.6944078026-32398.8559070109i</v>
      </c>
      <c r="AE219" s="128" t="str">
        <f t="shared" si="83"/>
        <v>-1.03742981943199+1.37543565993887i</v>
      </c>
      <c r="AF219" s="130"/>
      <c r="AG219" s="130"/>
      <c r="AH219" s="130"/>
      <c r="AI219" s="130"/>
      <c r="AJ219" s="130"/>
      <c r="AK219" s="130"/>
      <c r="AL219" s="130"/>
      <c r="AM219" s="130"/>
      <c r="AN219" s="130"/>
      <c r="AO219" s="130"/>
      <c r="AP219" s="130"/>
      <c r="AQ219" s="130"/>
      <c r="AR219" s="130"/>
      <c r="AS219" s="130"/>
    </row>
    <row r="220" spans="1:45" s="166" customFormat="1" x14ac:dyDescent="0.2">
      <c r="A220" s="132">
        <f t="shared" si="76"/>
        <v>18.783000000000001</v>
      </c>
      <c r="B220" s="132">
        <f t="shared" si="77"/>
        <v>3.8000000000000029</v>
      </c>
      <c r="C220" s="146">
        <f t="shared" si="56"/>
        <v>6309.5734448019721</v>
      </c>
      <c r="D220" s="137">
        <f t="shared" si="57"/>
        <v>18.782736675185888</v>
      </c>
      <c r="E220" s="132">
        <f t="shared" si="58"/>
        <v>118.42960479132782</v>
      </c>
      <c r="G220" s="146"/>
      <c r="H220" s="184" t="str">
        <f t="shared" si="59"/>
        <v>0.5-0.114656175387672i</v>
      </c>
      <c r="I220" s="132" t="str">
        <f t="shared" si="60"/>
        <v>0.01-0.573280876938362i</v>
      </c>
      <c r="J220" s="132" t="str">
        <f t="shared" si="61"/>
        <v>0.227729269600776-0.257105093657921i</v>
      </c>
      <c r="K220" s="132"/>
      <c r="L220" s="132" t="str">
        <f t="shared" si="62"/>
        <v>0.224994513261818-0.184627451637678i</v>
      </c>
      <c r="M220" s="132" t="str">
        <f t="shared" si="63"/>
        <v>0.009+0.130825923237736i</v>
      </c>
      <c r="N220" s="132" t="str">
        <f t="shared" si="64"/>
        <v>1.08556551598247-0.539424475984693i</v>
      </c>
      <c r="O220" s="185">
        <f t="shared" si="65"/>
        <v>1.6714927304398073</v>
      </c>
      <c r="P220" s="185">
        <f t="shared" si="66"/>
        <v>-26.423076595846879</v>
      </c>
      <c r="Q220" s="132">
        <f t="shared" si="67"/>
        <v>39644.219162950241</v>
      </c>
      <c r="R220" s="132">
        <f t="shared" si="78"/>
        <v>3.8000000000000025</v>
      </c>
      <c r="S220" s="164">
        <f t="shared" si="68"/>
        <v>16.718446469816826</v>
      </c>
      <c r="T220" s="132" t="str">
        <f t="shared" si="69"/>
        <v>1+0.551371800118312i</v>
      </c>
      <c r="U220" s="138">
        <f t="shared" si="70"/>
        <v>2.064290205369061</v>
      </c>
      <c r="V220" s="132">
        <f t="shared" si="71"/>
        <v>144.8526813871747</v>
      </c>
      <c r="W220" s="132">
        <f t="shared" si="72"/>
        <v>52.657271488236944</v>
      </c>
      <c r="X220" s="138">
        <f t="shared" si="73"/>
        <v>-64.606560858573332</v>
      </c>
      <c r="Y220" s="128" t="str">
        <f t="shared" si="74"/>
        <v>184.140978639645-387.914633401474i</v>
      </c>
      <c r="Z220" s="128" t="str">
        <f t="shared" si="75"/>
        <v>-2102029.88210733i</v>
      </c>
      <c r="AA220" s="128" t="str">
        <f t="shared" si="79"/>
        <v>64900-173539.143960686i</v>
      </c>
      <c r="AB220" s="128" t="str">
        <f t="shared" si="80"/>
        <v>5900-318155.097261258i</v>
      </c>
      <c r="AC220" s="128" t="str">
        <f t="shared" si="81"/>
        <v>58338.0105377324-165691.456808365i</v>
      </c>
      <c r="AD220" s="128" t="str">
        <f t="shared" si="82"/>
        <v>97768.6609485604-33576.038529303i</v>
      </c>
      <c r="AE220" s="128" t="str">
        <f t="shared" si="83"/>
        <v>-1.03649563276974+1.30021320644906i</v>
      </c>
      <c r="AF220" s="130"/>
      <c r="AG220" s="130"/>
      <c r="AH220" s="130"/>
      <c r="AI220" s="130"/>
      <c r="AJ220" s="130"/>
      <c r="AK220" s="130"/>
      <c r="AL220" s="130"/>
      <c r="AM220" s="130"/>
      <c r="AN220" s="130"/>
      <c r="AO220" s="130"/>
      <c r="AP220" s="130"/>
      <c r="AQ220" s="130"/>
      <c r="AR220" s="130"/>
      <c r="AS220" s="130"/>
    </row>
    <row r="221" spans="1:45" s="166" customFormat="1" x14ac:dyDescent="0.2">
      <c r="A221" s="132">
        <f t="shared" si="76"/>
        <v>18.698</v>
      </c>
      <c r="B221" s="132">
        <f t="shared" si="77"/>
        <v>3.8200000000000025</v>
      </c>
      <c r="C221" s="146">
        <f t="shared" si="56"/>
        <v>6606.9344800760009</v>
      </c>
      <c r="D221" s="137">
        <f t="shared" si="57"/>
        <v>18.697801334696248</v>
      </c>
      <c r="E221" s="132">
        <f t="shared" si="58"/>
        <v>118.63521565028222</v>
      </c>
      <c r="G221" s="146"/>
      <c r="H221" s="184" t="str">
        <f t="shared" si="59"/>
        <v>0.5-0.109495797436801i</v>
      </c>
      <c r="I221" s="132" t="str">
        <f t="shared" si="60"/>
        <v>0.01-0.547478987184002i</v>
      </c>
      <c r="J221" s="132" t="str">
        <f t="shared" si="61"/>
        <v>0.22051903265389-0.254821583497631i</v>
      </c>
      <c r="K221" s="132"/>
      <c r="L221" s="132" t="str">
        <f t="shared" si="62"/>
        <v>0.219538557662575-0.184682514186004i</v>
      </c>
      <c r="M221" s="132" t="str">
        <f t="shared" si="63"/>
        <v>0.009+0.136991559047349i</v>
      </c>
      <c r="N221" s="132" t="str">
        <f t="shared" si="64"/>
        <v>1.08212950750078-0.582285657836554i</v>
      </c>
      <c r="O221" s="185">
        <f t="shared" si="65"/>
        <v>1.7899445053990228</v>
      </c>
      <c r="P221" s="185">
        <f t="shared" si="66"/>
        <v>-28.284356834891931</v>
      </c>
      <c r="Q221" s="132">
        <f t="shared" si="67"/>
        <v>41512.593650711729</v>
      </c>
      <c r="R221" s="132">
        <f t="shared" si="78"/>
        <v>3.8200000000000025</v>
      </c>
      <c r="S221" s="164">
        <f t="shared" si="68"/>
        <v>16.836898244776041</v>
      </c>
      <c r="T221" s="132" t="str">
        <f t="shared" si="69"/>
        <v>1+0.577357152494099i</v>
      </c>
      <c r="U221" s="138">
        <f t="shared" si="70"/>
        <v>1.8609030899202077</v>
      </c>
      <c r="V221" s="132">
        <f t="shared" si="71"/>
        <v>146.91957248517414</v>
      </c>
      <c r="W221" s="132">
        <f t="shared" si="72"/>
        <v>52.328308849850053</v>
      </c>
      <c r="X221" s="138">
        <f t="shared" si="73"/>
        <v>-65.616558308104331</v>
      </c>
      <c r="Y221" s="128" t="str">
        <f t="shared" si="74"/>
        <v>170.686236800738-376.56495422401i</v>
      </c>
      <c r="Z221" s="128" t="str">
        <f t="shared" si="75"/>
        <v>-2007422.95300801i</v>
      </c>
      <c r="AA221" s="128" t="str">
        <f t="shared" si="79"/>
        <v>64900-165728.595866962i</v>
      </c>
      <c r="AB221" s="128" t="str">
        <f t="shared" si="80"/>
        <v>5900-303835.75908943i</v>
      </c>
      <c r="AC221" s="128" t="str">
        <f t="shared" si="81"/>
        <v>58335.9053847698-158338.043351114i</v>
      </c>
      <c r="AD221" s="128" t="str">
        <f t="shared" si="82"/>
        <v>96738.5007413498-34765.4675920268i</v>
      </c>
      <c r="AE221" s="128" t="str">
        <f t="shared" si="83"/>
        <v>-1.03576904666351+1.22774938845069i</v>
      </c>
      <c r="AF221" s="130"/>
      <c r="AG221" s="130"/>
      <c r="AH221" s="130"/>
      <c r="AI221" s="130"/>
      <c r="AJ221" s="130"/>
      <c r="AK221" s="130"/>
      <c r="AL221" s="130"/>
      <c r="AM221" s="130"/>
      <c r="AN221" s="130"/>
      <c r="AO221" s="130"/>
      <c r="AP221" s="130"/>
      <c r="AQ221" s="130"/>
      <c r="AR221" s="130"/>
      <c r="AS221" s="130"/>
    </row>
    <row r="222" spans="1:45" s="166" customFormat="1" x14ac:dyDescent="0.2">
      <c r="A222" s="132">
        <f t="shared" si="76"/>
        <v>18.634</v>
      </c>
      <c r="B222" s="132">
        <f t="shared" si="77"/>
        <v>3.8400000000000025</v>
      </c>
      <c r="C222" s="146">
        <f t="shared" si="56"/>
        <v>6918.309709189406</v>
      </c>
      <c r="D222" s="137">
        <f t="shared" si="57"/>
        <v>18.633655812384763</v>
      </c>
      <c r="E222" s="132">
        <f t="shared" si="58"/>
        <v>118.70371003947834</v>
      </c>
      <c r="G222" s="146"/>
      <c r="H222" s="184" t="str">
        <f t="shared" si="59"/>
        <v>0.5-0.10456767475265i</v>
      </c>
      <c r="I222" s="132" t="str">
        <f t="shared" si="60"/>
        <v>0.01-0.522838373763247i</v>
      </c>
      <c r="J222" s="132" t="str">
        <f t="shared" si="61"/>
        <v>0.213142347525762-0.252427579601196i</v>
      </c>
      <c r="K222" s="132"/>
      <c r="L222" s="132" t="str">
        <f t="shared" si="62"/>
        <v>0.21389107240913-0.184691290199917i</v>
      </c>
      <c r="M222" s="132" t="str">
        <f t="shared" si="63"/>
        <v>0.009+0.143447772320479i</v>
      </c>
      <c r="N222" s="132" t="str">
        <f t="shared" si="64"/>
        <v>1.07610276680659-0.629495946071232i</v>
      </c>
      <c r="O222" s="185">
        <f t="shared" si="65"/>
        <v>1.9152431597107737</v>
      </c>
      <c r="P222" s="185">
        <f t="shared" si="66"/>
        <v>-30.326675227405318</v>
      </c>
      <c r="Q222" s="132">
        <f t="shared" si="67"/>
        <v>43469.021915296755</v>
      </c>
      <c r="R222" s="132">
        <f t="shared" si="78"/>
        <v>3.8400000000000025</v>
      </c>
      <c r="S222" s="164">
        <f t="shared" si="68"/>
        <v>16.962196899087793</v>
      </c>
      <c r="T222" s="132" t="str">
        <f t="shared" si="69"/>
        <v>1+0.604567156797947i</v>
      </c>
      <c r="U222" s="138">
        <f t="shared" si="70"/>
        <v>1.6714589132969702</v>
      </c>
      <c r="V222" s="132">
        <f t="shared" si="71"/>
        <v>149.03038526688366</v>
      </c>
      <c r="W222" s="132">
        <f t="shared" si="72"/>
        <v>51.994124624270256</v>
      </c>
      <c r="X222" s="138">
        <f t="shared" si="73"/>
        <v>-66.596544045457492</v>
      </c>
      <c r="Y222" s="128" t="str">
        <f t="shared" si="74"/>
        <v>158.022533765864-365.108107180818i</v>
      </c>
      <c r="Z222" s="128" t="str">
        <f t="shared" si="75"/>
        <v>-1917074.03713191i</v>
      </c>
      <c r="AA222" s="128" t="str">
        <f t="shared" si="79"/>
        <v>64900-158269.580344692i</v>
      </c>
      <c r="AB222" s="128" t="str">
        <f t="shared" si="80"/>
        <v>5900-290160.897298601i</v>
      </c>
      <c r="AC222" s="128" t="str">
        <f t="shared" si="81"/>
        <v>58333.5973050645-151320.477879746i</v>
      </c>
      <c r="AD222" s="128" t="str">
        <f t="shared" si="82"/>
        <v>95635.0997227934-35963.1782056874i</v>
      </c>
      <c r="AE222" s="128" t="str">
        <f t="shared" si="83"/>
        <v>-1.03524387785837+1.15789151397685i</v>
      </c>
      <c r="AF222" s="130"/>
      <c r="AG222" s="130"/>
      <c r="AH222" s="130"/>
      <c r="AI222" s="130"/>
      <c r="AJ222" s="130"/>
      <c r="AK222" s="130"/>
      <c r="AL222" s="130"/>
      <c r="AM222" s="130"/>
      <c r="AN222" s="130"/>
      <c r="AO222" s="130"/>
      <c r="AP222" s="130"/>
      <c r="AQ222" s="130"/>
      <c r="AR222" s="130"/>
      <c r="AS222" s="130"/>
    </row>
    <row r="223" spans="1:45" s="166" customFormat="1" x14ac:dyDescent="0.2">
      <c r="A223" s="132">
        <f t="shared" si="76"/>
        <v>18.59</v>
      </c>
      <c r="B223" s="132">
        <f t="shared" si="77"/>
        <v>3.8600000000000034</v>
      </c>
      <c r="C223" s="146">
        <f t="shared" si="56"/>
        <v>7244.3596007499555</v>
      </c>
      <c r="D223" s="137">
        <f t="shared" si="57"/>
        <v>18.590159077066595</v>
      </c>
      <c r="E223" s="132">
        <f t="shared" si="58"/>
        <v>118.60726975442554</v>
      </c>
      <c r="G223" s="146"/>
      <c r="H223" s="184" t="str">
        <f t="shared" si="59"/>
        <v>0.5-0.0998613541262815i</v>
      </c>
      <c r="I223" s="132" t="str">
        <f t="shared" si="60"/>
        <v>0.01-0.499306770631405i</v>
      </c>
      <c r="J223" s="132" t="str">
        <f t="shared" si="61"/>
        <v>0.2056256605043-0.249897367550083i</v>
      </c>
      <c r="K223" s="132"/>
      <c r="L223" s="132" t="str">
        <f t="shared" si="62"/>
        <v>0.208060237499428-0.184627713194255i</v>
      </c>
      <c r="M223" s="132" t="str">
        <f t="shared" si="63"/>
        <v>0.009+0.15020825755108i</v>
      </c>
      <c r="N223" s="132" t="str">
        <f t="shared" si="64"/>
        <v>1.06659533335071-0.681451767181276i</v>
      </c>
      <c r="O223" s="185">
        <f t="shared" si="65"/>
        <v>2.0466308541777605</v>
      </c>
      <c r="P223" s="185">
        <f t="shared" si="66"/>
        <v>-32.574662139403962</v>
      </c>
      <c r="Q223" s="132">
        <f t="shared" si="67"/>
        <v>45517.653803357491</v>
      </c>
      <c r="R223" s="132">
        <f t="shared" si="78"/>
        <v>3.8600000000000025</v>
      </c>
      <c r="S223" s="164">
        <f t="shared" si="68"/>
        <v>17.093584593554777</v>
      </c>
      <c r="T223" s="132" t="str">
        <f t="shared" si="69"/>
        <v>1+0.633059529097096i</v>
      </c>
      <c r="U223" s="138">
        <f t="shared" si="70"/>
        <v>1.4965744835118191</v>
      </c>
      <c r="V223" s="132">
        <f t="shared" si="71"/>
        <v>151.1819318938295</v>
      </c>
      <c r="W223" s="132">
        <f t="shared" si="72"/>
        <v>51.65503152805109</v>
      </c>
      <c r="X223" s="138">
        <f t="shared" si="73"/>
        <v>-67.546313813202318</v>
      </c>
      <c r="Y223" s="128" t="str">
        <f t="shared" si="74"/>
        <v>146.131132786522-353.599927170055i</v>
      </c>
      <c r="Z223" s="128" t="str">
        <f t="shared" si="75"/>
        <v>-1830791.49231515i</v>
      </c>
      <c r="AA223" s="128" t="str">
        <f t="shared" si="79"/>
        <v>64900-151146.275821904i</v>
      </c>
      <c r="AB223" s="128" t="str">
        <f t="shared" si="80"/>
        <v>5900-277101.505673492i</v>
      </c>
      <c r="AC223" s="128" t="str">
        <f t="shared" si="81"/>
        <v>58331.0667559047-144623.873978438i</v>
      </c>
      <c r="AD223" s="128" t="str">
        <f t="shared" si="82"/>
        <v>94455.550403923-37164.7143049062i</v>
      </c>
      <c r="AE223" s="128" t="str">
        <f t="shared" si="83"/>
        <v>-1.03491564631201+1.09049245148905i</v>
      </c>
      <c r="AF223" s="130"/>
      <c r="AG223" s="130"/>
      <c r="AH223" s="130"/>
      <c r="AI223" s="130"/>
      <c r="AJ223" s="130"/>
      <c r="AK223" s="130"/>
      <c r="AL223" s="130"/>
      <c r="AM223" s="130"/>
      <c r="AN223" s="130"/>
      <c r="AO223" s="130"/>
      <c r="AP223" s="130"/>
      <c r="AQ223" s="130"/>
      <c r="AR223" s="130"/>
      <c r="AS223" s="130"/>
    </row>
    <row r="224" spans="1:45" s="166" customFormat="1" x14ac:dyDescent="0.2">
      <c r="A224" s="132">
        <f t="shared" si="76"/>
        <v>18.567</v>
      </c>
      <c r="B224" s="132">
        <f t="shared" si="77"/>
        <v>3.880000000000003</v>
      </c>
      <c r="C224" s="146">
        <f t="shared" si="56"/>
        <v>7585.775750291893</v>
      </c>
      <c r="D224" s="137">
        <f t="shared" si="57"/>
        <v>18.566574086457223</v>
      </c>
      <c r="E224" s="132">
        <f t="shared" si="58"/>
        <v>118.31428102251731</v>
      </c>
      <c r="G224" s="146"/>
      <c r="H224" s="184" t="str">
        <f t="shared" si="59"/>
        <v>0.5-0.0953668528206596i</v>
      </c>
      <c r="I224" s="132" t="str">
        <f t="shared" si="60"/>
        <v>0.01-0.476834264103298i</v>
      </c>
      <c r="J224" s="132" t="str">
        <f t="shared" si="61"/>
        <v>0.197997635243635-0.24720849518656i</v>
      </c>
      <c r="K224" s="132"/>
      <c r="L224" s="132" t="str">
        <f t="shared" si="62"/>
        <v>0.202057037715142-0.184466504979416i</v>
      </c>
      <c r="M224" s="132" t="str">
        <f t="shared" si="63"/>
        <v>0.009+0.157287354634718i</v>
      </c>
      <c r="N224" s="132" t="str">
        <f t="shared" si="64"/>
        <v>1.05245638398318-0.738481106222396i</v>
      </c>
      <c r="O224" s="185">
        <f t="shared" si="65"/>
        <v>2.1827778879822008</v>
      </c>
      <c r="P224" s="185">
        <f t="shared" si="66"/>
        <v>-35.056334450906192</v>
      </c>
      <c r="Q224" s="132">
        <f t="shared" si="67"/>
        <v>47662.834737793222</v>
      </c>
      <c r="R224" s="132">
        <f t="shared" si="78"/>
        <v>3.8800000000000026</v>
      </c>
      <c r="S224" s="164">
        <f t="shared" si="68"/>
        <v>17.229731627359218</v>
      </c>
      <c r="T224" s="132" t="str">
        <f t="shared" si="69"/>
        <v>1+0.662894705533228i</v>
      </c>
      <c r="U224" s="138">
        <f t="shared" si="70"/>
        <v>1.3368424590980066</v>
      </c>
      <c r="V224" s="132">
        <f t="shared" si="71"/>
        <v>153.3706154734235</v>
      </c>
      <c r="W224" s="132">
        <f t="shared" si="72"/>
        <v>51.31133397404588</v>
      </c>
      <c r="X224" s="138">
        <f t="shared" si="73"/>
        <v>-68.465804717670821</v>
      </c>
      <c r="Y224" s="128" t="str">
        <f t="shared" si="74"/>
        <v>134.989367617502-342.091600945207i</v>
      </c>
      <c r="Z224" s="128" t="str">
        <f t="shared" si="75"/>
        <v>-1748392.30171209i</v>
      </c>
      <c r="AA224" s="128" t="str">
        <f t="shared" si="79"/>
        <v>64900-144343.57281467i</v>
      </c>
      <c r="AB224" s="128" t="str">
        <f t="shared" si="80"/>
        <v>5900-264629.883493562i</v>
      </c>
      <c r="AC224" s="128" t="str">
        <f t="shared" si="81"/>
        <v>58328.2923162635-138234.025853645i</v>
      </c>
      <c r="AD224" s="128" t="str">
        <f t="shared" si="82"/>
        <v>93197.2201888082-38365.1222071065i</v>
      </c>
      <c r="AE224" s="128" t="str">
        <f t="shared" si="83"/>
        <v>-1.03478153641726+1.02541033776412i</v>
      </c>
      <c r="AF224" s="130"/>
      <c r="AG224" s="130"/>
      <c r="AH224" s="130"/>
      <c r="AI224" s="130"/>
      <c r="AJ224" s="130"/>
      <c r="AK224" s="130"/>
      <c r="AL224" s="130"/>
      <c r="AM224" s="130"/>
      <c r="AN224" s="130"/>
      <c r="AO224" s="130"/>
      <c r="AP224" s="130"/>
      <c r="AQ224" s="130"/>
      <c r="AR224" s="130"/>
      <c r="AS224" s="130"/>
    </row>
    <row r="225" spans="1:45" s="166" customFormat="1" x14ac:dyDescent="0.2">
      <c r="A225" s="132">
        <f t="shared" si="76"/>
        <v>18.561</v>
      </c>
      <c r="B225" s="132">
        <f t="shared" si="77"/>
        <v>3.900000000000003</v>
      </c>
      <c r="C225" s="146">
        <f t="shared" si="56"/>
        <v>7943.2823472428718</v>
      </c>
      <c r="D225" s="137">
        <f t="shared" si="57"/>
        <v>18.561342277890361</v>
      </c>
      <c r="E225" s="132">
        <f t="shared" si="58"/>
        <v>117.78929759565307</v>
      </c>
      <c r="G225" s="146"/>
      <c r="H225" s="184" t="str">
        <f t="shared" si="59"/>
        <v>0.5-0.0910746373959272i</v>
      </c>
      <c r="I225" s="132" t="str">
        <f t="shared" si="60"/>
        <v>0.01-0.455373186979636i</v>
      </c>
      <c r="J225" s="132" t="str">
        <f t="shared" si="61"/>
        <v>0.190288744213054-0.244342097226266i</v>
      </c>
      <c r="K225" s="132"/>
      <c r="L225" s="132" t="str">
        <f t="shared" si="62"/>
        <v>0.195895230050408-0.184183556332812i</v>
      </c>
      <c r="M225" s="132" t="str">
        <f t="shared" si="63"/>
        <v>0.009+0.164700079285419i</v>
      </c>
      <c r="N225" s="132" t="str">
        <f t="shared" si="64"/>
        <v>1.03221953781181-0.800762080306214i</v>
      </c>
      <c r="O225" s="185">
        <f t="shared" si="65"/>
        <v>2.3215644634039876</v>
      </c>
      <c r="P225" s="185">
        <f t="shared" si="66"/>
        <v>-37.803137386593278</v>
      </c>
      <c r="Q225" s="132">
        <f t="shared" si="67"/>
        <v>49909.11493497539</v>
      </c>
      <c r="R225" s="132">
        <f t="shared" si="78"/>
        <v>3.9000000000000026</v>
      </c>
      <c r="S225" s="164">
        <f t="shared" si="68"/>
        <v>17.368518202781004</v>
      </c>
      <c r="T225" s="132" t="str">
        <f t="shared" si="69"/>
        <v>1+0.694135970515638i</v>
      </c>
      <c r="U225" s="138">
        <f t="shared" si="70"/>
        <v>1.1928240751093551</v>
      </c>
      <c r="V225" s="132">
        <f t="shared" si="71"/>
        <v>155.59243498224635</v>
      </c>
      <c r="W225" s="132">
        <f t="shared" si="72"/>
        <v>50.963326650189117</v>
      </c>
      <c r="X225" s="138">
        <f t="shared" si="73"/>
        <v>-69.355082811317203</v>
      </c>
      <c r="Y225" s="128" t="str">
        <f t="shared" si="74"/>
        <v>124.571386667425-330.629559962511i</v>
      </c>
      <c r="Z225" s="128" t="str">
        <f t="shared" si="75"/>
        <v>-1669701.685592i</v>
      </c>
      <c r="AA225" s="128" t="str">
        <f t="shared" si="79"/>
        <v>64900-137847.041877855i</v>
      </c>
      <c r="AB225" s="128" t="str">
        <f t="shared" si="80"/>
        <v>5900-252719.576776067i</v>
      </c>
      <c r="AC225" s="128" t="str">
        <f t="shared" si="81"/>
        <v>58325.2505070223-132137.378175067i</v>
      </c>
      <c r="AD225" s="128" t="str">
        <f t="shared" si="82"/>
        <v>91857.8253552623-39558.953390989i</v>
      </c>
      <c r="AE225" s="128" t="str">
        <f t="shared" si="83"/>
        <v>-1.03484037210246+0.962508297961499i</v>
      </c>
      <c r="AF225" s="130"/>
      <c r="AG225" s="130"/>
      <c r="AH225" s="130"/>
      <c r="AI225" s="130"/>
      <c r="AJ225" s="130"/>
      <c r="AK225" s="130"/>
      <c r="AL225" s="130"/>
      <c r="AM225" s="130"/>
      <c r="AN225" s="130"/>
      <c r="AO225" s="130"/>
      <c r="AP225" s="130"/>
      <c r="AQ225" s="130"/>
      <c r="AR225" s="130"/>
      <c r="AS225" s="130"/>
    </row>
    <row r="226" spans="1:45" s="166" customFormat="1" x14ac:dyDescent="0.2">
      <c r="A226" s="132">
        <f t="shared" si="76"/>
        <v>18.571999999999999</v>
      </c>
      <c r="B226" s="132">
        <f t="shared" si="77"/>
        <v>3.920000000000003</v>
      </c>
      <c r="C226" s="146">
        <f t="shared" si="56"/>
        <v>8317.6377110267676</v>
      </c>
      <c r="D226" s="137">
        <f t="shared" si="57"/>
        <v>18.571796633927395</v>
      </c>
      <c r="E226" s="132">
        <f t="shared" si="58"/>
        <v>116.99336607148618</v>
      </c>
      <c r="G226" s="146"/>
      <c r="H226" s="184" t="str">
        <f t="shared" si="59"/>
        <v>0.5-0.086975603487701i</v>
      </c>
      <c r="I226" s="132" t="str">
        <f t="shared" si="60"/>
        <v>0.01-0.434878017438507i</v>
      </c>
      <c r="J226" s="132" t="str">
        <f t="shared" si="61"/>
        <v>0.182530798864013-0.24128314987528i</v>
      </c>
      <c r="K226" s="132"/>
      <c r="L226" s="132" t="str">
        <f t="shared" si="62"/>
        <v>0.189591245789603-0.183756315141407i</v>
      </c>
      <c r="M226" s="132" t="str">
        <f t="shared" si="63"/>
        <v>0.009+0.172462154886009i</v>
      </c>
      <c r="N226" s="132" t="str">
        <f t="shared" si="64"/>
        <v>1.00405635740329-0.868197090208645i</v>
      </c>
      <c r="O226" s="185">
        <f t="shared" si="65"/>
        <v>2.4598011092283203</v>
      </c>
      <c r="P226" s="185">
        <f t="shared" si="66"/>
        <v>-40.849630921477221</v>
      </c>
      <c r="Q226" s="132">
        <f t="shared" si="67"/>
        <v>52261.259056366231</v>
      </c>
      <c r="R226" s="132">
        <f t="shared" si="78"/>
        <v>3.9200000000000026</v>
      </c>
      <c r="S226" s="164">
        <f t="shared" si="68"/>
        <v>17.506754848605336</v>
      </c>
      <c r="T226" s="132" t="str">
        <f t="shared" si="69"/>
        <v>1+0.726849590955941i</v>
      </c>
      <c r="U226" s="138">
        <f t="shared" si="70"/>
        <v>1.0650417853220586</v>
      </c>
      <c r="V226" s="132">
        <f t="shared" si="71"/>
        <v>157.84299699296341</v>
      </c>
      <c r="W226" s="132">
        <f t="shared" si="72"/>
        <v>50.611293386986091</v>
      </c>
      <c r="X226" s="138">
        <f t="shared" si="73"/>
        <v>-70.214330529564165</v>
      </c>
      <c r="Y226" s="128" t="str">
        <f t="shared" si="74"/>
        <v>114.848850873775-319.255474227597i</v>
      </c>
      <c r="Z226" s="128" t="str">
        <f t="shared" si="75"/>
        <v>-1594552.73060786i</v>
      </c>
      <c r="AA226" s="128" t="str">
        <f t="shared" si="79"/>
        <v>64900-131642.902998338i</v>
      </c>
      <c r="AB226" s="128" t="str">
        <f t="shared" si="80"/>
        <v>5900-241345.322163619i</v>
      </c>
      <c r="AC226" s="128" t="str">
        <f t="shared" si="81"/>
        <v>58321.9155941409-126320.997292432i</v>
      </c>
      <c r="AD226" s="128" t="str">
        <f t="shared" si="82"/>
        <v>90435.509591151-40740.2781767965i</v>
      </c>
      <c r="AE226" s="128" t="str">
        <f t="shared" si="83"/>
        <v>-1.03509260556442+0.90165417767627i</v>
      </c>
      <c r="AF226" s="130"/>
      <c r="AG226" s="130"/>
      <c r="AH226" s="130"/>
      <c r="AI226" s="130"/>
      <c r="AJ226" s="130"/>
      <c r="AK226" s="130"/>
      <c r="AL226" s="130"/>
      <c r="AM226" s="130"/>
      <c r="AN226" s="130"/>
      <c r="AO226" s="130"/>
      <c r="AP226" s="130"/>
      <c r="AQ226" s="130"/>
      <c r="AR226" s="130"/>
      <c r="AS226" s="130"/>
    </row>
    <row r="227" spans="1:45" s="166" customFormat="1" x14ac:dyDescent="0.2">
      <c r="A227" s="132">
        <f t="shared" si="76"/>
        <v>18.594000000000001</v>
      </c>
      <c r="B227" s="132">
        <f t="shared" si="77"/>
        <v>3.9400000000000031</v>
      </c>
      <c r="C227" s="146">
        <f t="shared" si="56"/>
        <v>8709.6358995608662</v>
      </c>
      <c r="D227" s="137">
        <f t="shared" si="57"/>
        <v>18.593811742399897</v>
      </c>
      <c r="E227" s="132">
        <f t="shared" si="58"/>
        <v>115.88496850197174</v>
      </c>
      <c r="G227" s="146"/>
      <c r="H227" s="184" t="str">
        <f t="shared" si="59"/>
        <v>0.5-0.0830610564954951i</v>
      </c>
      <c r="I227" s="132" t="str">
        <f t="shared" si="60"/>
        <v>0.01-0.415305282477474i</v>
      </c>
      <c r="J227" s="132" t="str">
        <f t="shared" si="61"/>
        <v>0.174756433236014-0.238020643058599i</v>
      </c>
      <c r="K227" s="132"/>
      <c r="L227" s="132" t="str">
        <f t="shared" si="62"/>
        <v>0.183164023840379-0.183164168845782i</v>
      </c>
      <c r="M227" s="132" t="str">
        <f t="shared" si="63"/>
        <v>0.009+0.180590045839515i</v>
      </c>
      <c r="N227" s="132" t="str">
        <f t="shared" si="64"/>
        <v>0.965759798232701-0.940228981053726i</v>
      </c>
      <c r="O227" s="185">
        <f t="shared" si="65"/>
        <v>2.5928860083819751</v>
      </c>
      <c r="P227" s="185">
        <f t="shared" si="66"/>
        <v>-44.232566000435789</v>
      </c>
      <c r="Q227" s="132">
        <f t="shared" si="67"/>
        <v>54724.256315004692</v>
      </c>
      <c r="R227" s="132">
        <f t="shared" si="78"/>
        <v>3.9400000000000026</v>
      </c>
      <c r="S227" s="164">
        <f t="shared" si="68"/>
        <v>17.639839747758991</v>
      </c>
      <c r="T227" s="132" t="str">
        <f t="shared" si="69"/>
        <v>1+0.761104956829085i</v>
      </c>
      <c r="U227" s="138">
        <f t="shared" si="70"/>
        <v>0.95397199464090665</v>
      </c>
      <c r="V227" s="132">
        <f t="shared" si="71"/>
        <v>160.11753450240752</v>
      </c>
      <c r="W227" s="132">
        <f t="shared" si="72"/>
        <v>50.255506293124562</v>
      </c>
      <c r="X227" s="138">
        <f t="shared" si="73"/>
        <v>-71.043834227284435</v>
      </c>
      <c r="Y227" s="128" t="str">
        <f t="shared" si="74"/>
        <v>105.791575537575-308.006330986985i</v>
      </c>
      <c r="Z227" s="128" t="str">
        <f t="shared" si="75"/>
        <v>-1522786.03575074i</v>
      </c>
      <c r="AA227" s="128" t="str">
        <f t="shared" si="79"/>
        <v>64900-125717.996365752i</v>
      </c>
      <c r="AB227" s="128" t="str">
        <f t="shared" si="80"/>
        <v>5900-230482.993337211i</v>
      </c>
      <c r="AC227" s="128" t="str">
        <f t="shared" si="81"/>
        <v>58318.2593731843-120772.54376643i</v>
      </c>
      <c r="AD227" s="128" t="str">
        <f t="shared" si="82"/>
        <v>88928.9255536495-41902.7119173948i</v>
      </c>
      <c r="AE227" s="128" t="str">
        <f t="shared" si="83"/>
        <v>-1.03554031949407+0.842720286834965i</v>
      </c>
      <c r="AF227" s="130"/>
      <c r="AG227" s="130"/>
      <c r="AH227" s="130"/>
      <c r="AI227" s="130"/>
      <c r="AJ227" s="130"/>
      <c r="AK227" s="130"/>
      <c r="AL227" s="130"/>
      <c r="AM227" s="130"/>
      <c r="AN227" s="130"/>
      <c r="AO227" s="130"/>
      <c r="AP227" s="130"/>
      <c r="AQ227" s="130"/>
      <c r="AR227" s="130"/>
      <c r="AS227" s="130"/>
    </row>
    <row r="228" spans="1:45" s="166" customFormat="1" x14ac:dyDescent="0.2">
      <c r="A228" s="132">
        <f t="shared" si="76"/>
        <v>18.620999999999999</v>
      </c>
      <c r="B228" s="132">
        <f t="shared" si="77"/>
        <v>3.9600000000000031</v>
      </c>
      <c r="C228" s="146">
        <f t="shared" si="56"/>
        <v>9120.1083935591578</v>
      </c>
      <c r="D228" s="137">
        <f t="shared" si="57"/>
        <v>18.621405768318521</v>
      </c>
      <c r="E228" s="132">
        <f t="shared" si="58"/>
        <v>114.42193861118704</v>
      </c>
      <c r="G228" s="146"/>
      <c r="H228" s="184" t="str">
        <f t="shared" si="59"/>
        <v>0.5-0.0793226931403055i</v>
      </c>
      <c r="I228" s="132" t="str">
        <f t="shared" si="60"/>
        <v>0.01-0.396613465701526i</v>
      </c>
      <c r="J228" s="132" t="str">
        <f t="shared" si="61"/>
        <v>0.166998558463539-0.234547661440993i</v>
      </c>
      <c r="K228" s="132"/>
      <c r="L228" s="132" t="str">
        <f t="shared" si="62"/>
        <v>0.176634774933953-0.182388806931726i</v>
      </c>
      <c r="M228" s="132" t="str">
        <f t="shared" si="63"/>
        <v>0.009+0.189100992492377i</v>
      </c>
      <c r="N228" s="132" t="str">
        <f t="shared" si="64"/>
        <v>0.914795931131668-1.01559143236329i</v>
      </c>
      <c r="O228" s="185">
        <f t="shared" si="65"/>
        <v>2.7144139589174188</v>
      </c>
      <c r="P228" s="185">
        <f t="shared" si="66"/>
        <v>-47.988994325363684</v>
      </c>
      <c r="Q228" s="132">
        <f t="shared" si="67"/>
        <v>57303.33105829612</v>
      </c>
      <c r="R228" s="132">
        <f t="shared" si="78"/>
        <v>3.9600000000000026</v>
      </c>
      <c r="S228" s="164">
        <f t="shared" si="68"/>
        <v>17.761367698294436</v>
      </c>
      <c r="T228" s="132" t="str">
        <f t="shared" si="69"/>
        <v>1+0.796974728358782i</v>
      </c>
      <c r="U228" s="138">
        <f t="shared" si="70"/>
        <v>0.86003807002408661</v>
      </c>
      <c r="V228" s="132">
        <f t="shared" si="71"/>
        <v>162.41093293655072</v>
      </c>
      <c r="W228" s="132">
        <f t="shared" si="72"/>
        <v>49.896225135455182</v>
      </c>
      <c r="X228" s="138">
        <f t="shared" si="73"/>
        <v>-71.843972017646536</v>
      </c>
      <c r="Y228" s="128" t="str">
        <f t="shared" si="74"/>
        <v>97.368109955303-296.91458237023i</v>
      </c>
      <c r="Z228" s="128" t="str">
        <f t="shared" si="75"/>
        <v>-1454249.37423893i</v>
      </c>
      <c r="AA228" s="128" t="str">
        <f t="shared" si="79"/>
        <v>64900-120059.754458763i</v>
      </c>
      <c r="AB228" s="128" t="str">
        <f t="shared" si="80"/>
        <v>5900-220109.549841065i</v>
      </c>
      <c r="AC228" s="128" t="str">
        <f t="shared" si="81"/>
        <v>58314.2509334831-115480.246154881i</v>
      </c>
      <c r="AD228" s="128" t="str">
        <f t="shared" si="82"/>
        <v>87337.3174697565-43039.4551330701i</v>
      </c>
      <c r="AE228" s="128" t="str">
        <f t="shared" si="83"/>
        <v>-1.03618724275868+0.785583155351075i</v>
      </c>
      <c r="AF228" s="130"/>
      <c r="AG228" s="130"/>
      <c r="AH228" s="130"/>
      <c r="AI228" s="130"/>
      <c r="AJ228" s="130"/>
      <c r="AK228" s="130"/>
      <c r="AL228" s="130"/>
      <c r="AM228" s="130"/>
      <c r="AN228" s="130"/>
      <c r="AO228" s="130"/>
      <c r="AP228" s="130"/>
      <c r="AQ228" s="130"/>
      <c r="AR228" s="130"/>
      <c r="AS228" s="130"/>
    </row>
    <row r="229" spans="1:45" s="166" customFormat="1" x14ac:dyDescent="0.2">
      <c r="A229" s="132">
        <f t="shared" si="76"/>
        <v>18.646000000000001</v>
      </c>
      <c r="B229" s="132">
        <f t="shared" si="77"/>
        <v>3.9800000000000026</v>
      </c>
      <c r="C229" s="146">
        <f t="shared" si="56"/>
        <v>9549.92586021442</v>
      </c>
      <c r="D229" s="137">
        <f t="shared" si="57"/>
        <v>18.646341333099105</v>
      </c>
      <c r="E229" s="132">
        <f t="shared" si="58"/>
        <v>112.56479027779044</v>
      </c>
      <c r="G229" s="146"/>
      <c r="H229" s="184" t="str">
        <f t="shared" si="59"/>
        <v>0.5-0.0757525838522449i</v>
      </c>
      <c r="I229" s="132" t="str">
        <f t="shared" si="60"/>
        <v>0.01-0.378762919261225i</v>
      </c>
      <c r="J229" s="132" t="str">
        <f t="shared" si="61"/>
        <v>0.159289807396993-0.230861369645575i</v>
      </c>
      <c r="K229" s="132"/>
      <c r="L229" s="132" t="str">
        <f t="shared" si="62"/>
        <v>0.170026679647478-0.181414548899733i</v>
      </c>
      <c r="M229" s="132" t="str">
        <f t="shared" si="63"/>
        <v>0.009+0.198013047703527i</v>
      </c>
      <c r="N229" s="132" t="str">
        <f t="shared" si="64"/>
        <v>0.848482644630101-1.09200532259561i</v>
      </c>
      <c r="O229" s="185">
        <f t="shared" si="65"/>
        <v>2.8157837685456628</v>
      </c>
      <c r="P229" s="185">
        <f t="shared" si="66"/>
        <v>-52.152972880336804</v>
      </c>
      <c r="Q229" s="132">
        <f t="shared" si="67"/>
        <v>60003.953849553618</v>
      </c>
      <c r="R229" s="132">
        <f t="shared" si="78"/>
        <v>3.9800000000000026</v>
      </c>
      <c r="S229" s="164">
        <f t="shared" si="68"/>
        <v>17.862737507922681</v>
      </c>
      <c r="T229" s="132" t="str">
        <f t="shared" si="69"/>
        <v>1+0.834534990139592i</v>
      </c>
      <c r="U229" s="138">
        <f t="shared" si="70"/>
        <v>0.78360382517642491</v>
      </c>
      <c r="V229" s="132">
        <f t="shared" si="71"/>
        <v>164.71776315812724</v>
      </c>
      <c r="W229" s="132">
        <f t="shared" si="72"/>
        <v>49.533696937761043</v>
      </c>
      <c r="X229" s="138">
        <f t="shared" si="73"/>
        <v>-72.615202075132586</v>
      </c>
      <c r="Y229" s="128" t="str">
        <f t="shared" si="74"/>
        <v>89.5462517895481-286.008346931817i</v>
      </c>
      <c r="Z229" s="128" t="str">
        <f t="shared" si="75"/>
        <v>-1388797.37062449i</v>
      </c>
      <c r="AA229" s="128" t="str">
        <f t="shared" si="79"/>
        <v>64900-114656.175387672i</v>
      </c>
      <c r="AB229" s="128" t="str">
        <f t="shared" si="80"/>
        <v>5900-210202.988210733i</v>
      </c>
      <c r="AC229" s="128" t="str">
        <f t="shared" si="81"/>
        <v>58309.8564000422-110432.875997796i</v>
      </c>
      <c r="AD229" s="128" t="str">
        <f t="shared" si="82"/>
        <v>85660.6023486972-44143.3487278094i</v>
      </c>
      <c r="AE229" s="128" t="str">
        <f t="shared" si="83"/>
        <v>-1.03703877960518+0.730123300525379i</v>
      </c>
      <c r="AF229" s="130"/>
      <c r="AG229" s="130"/>
      <c r="AH229" s="130"/>
      <c r="AI229" s="130"/>
      <c r="AJ229" s="130"/>
      <c r="AK229" s="130"/>
      <c r="AL229" s="130"/>
      <c r="AM229" s="130"/>
      <c r="AN229" s="130"/>
      <c r="AO229" s="130"/>
      <c r="AP229" s="130"/>
      <c r="AQ229" s="130"/>
      <c r="AR229" s="130"/>
      <c r="AS229" s="130"/>
    </row>
    <row r="230" spans="1:45" s="166" customFormat="1" x14ac:dyDescent="0.2">
      <c r="A230" s="132">
        <f t="shared" si="76"/>
        <v>18.658000000000001</v>
      </c>
      <c r="B230" s="132">
        <f t="shared" si="77"/>
        <v>4.0000000000000027</v>
      </c>
      <c r="C230" s="132">
        <f t="shared" si="56"/>
        <v>10000.000000000062</v>
      </c>
      <c r="D230" s="137">
        <f t="shared" si="57"/>
        <v>18.65782485949368</v>
      </c>
      <c r="E230" s="132">
        <f t="shared" si="58"/>
        <v>110.2818796290303</v>
      </c>
      <c r="G230" s="132"/>
      <c r="H230" s="184" t="str">
        <f t="shared" si="59"/>
        <v>0.5-0.0723431559508609i</v>
      </c>
      <c r="I230" s="132" t="str">
        <f t="shared" si="60"/>
        <v>0.01-0.361715779754305i</v>
      </c>
      <c r="J230" s="132" t="str">
        <f t="shared" si="61"/>
        <v>0.151661989151951-0.226962901643993i</v>
      </c>
      <c r="K230" s="132"/>
      <c r="L230" s="132" t="str">
        <f t="shared" si="62"/>
        <v>0.163364526663045-0.180228623704383i</v>
      </c>
      <c r="M230" s="132" t="str">
        <f t="shared" si="63"/>
        <v>0.009+0.207345115136928i</v>
      </c>
      <c r="N230" s="132" t="str">
        <f t="shared" si="64"/>
        <v>0.764368800940039-1.16587576131153i</v>
      </c>
      <c r="O230" s="185">
        <f t="shared" si="65"/>
        <v>2.8859034475745702</v>
      </c>
      <c r="P230" s="185">
        <f t="shared" si="66"/>
        <v>-56.750441407638327</v>
      </c>
      <c r="Q230" s="132">
        <f t="shared" si="67"/>
        <v>62831.853071796249</v>
      </c>
      <c r="R230" s="132">
        <f t="shared" si="78"/>
        <v>4.0000000000000027</v>
      </c>
      <c r="S230" s="164">
        <f t="shared" si="68"/>
        <v>17.932857186951587</v>
      </c>
      <c r="T230" s="132" t="str">
        <f t="shared" si="69"/>
        <v>1+0.873865412522542i</v>
      </c>
      <c r="U230" s="138">
        <f t="shared" si="70"/>
        <v>0.72496767254209116</v>
      </c>
      <c r="V230" s="132">
        <f t="shared" si="71"/>
        <v>167.03232103666863</v>
      </c>
      <c r="W230" s="132">
        <f t="shared" si="72"/>
        <v>49.168155772044322</v>
      </c>
      <c r="X230" s="138">
        <f t="shared" si="73"/>
        <v>-73.358051526420937</v>
      </c>
      <c r="Y230" s="128" t="str">
        <f t="shared" si="74"/>
        <v>82.293495688155-275.311651293852i</v>
      </c>
      <c r="Z230" s="128" t="str">
        <f t="shared" si="75"/>
        <v>-1326291.19243245i</v>
      </c>
      <c r="AA230" s="128" t="str">
        <f t="shared" si="79"/>
        <v>64900-109495.797436801i</v>
      </c>
      <c r="AB230" s="128" t="str">
        <f t="shared" si="80"/>
        <v>5900-200742.295300801i</v>
      </c>
      <c r="AC230" s="128" t="str">
        <f t="shared" si="81"/>
        <v>58305.038651153-105619.723947378i</v>
      </c>
      <c r="AD230" s="128" t="str">
        <f t="shared" si="82"/>
        <v>83899.4469617553-45206.9450001513i</v>
      </c>
      <c r="AE230" s="128" t="str">
        <f t="shared" si="83"/>
        <v>-1.0381020525485+0.676225006253135i</v>
      </c>
      <c r="AF230" s="130"/>
      <c r="AG230" s="130"/>
      <c r="AH230" s="130"/>
      <c r="AI230" s="130"/>
      <c r="AJ230" s="130"/>
      <c r="AK230" s="130"/>
      <c r="AL230" s="130"/>
      <c r="AM230" s="130"/>
      <c r="AN230" s="130"/>
      <c r="AO230" s="130"/>
      <c r="AP230" s="130"/>
      <c r="AQ230" s="130"/>
      <c r="AR230" s="130"/>
      <c r="AS230" s="130"/>
    </row>
    <row r="231" spans="1:45" s="166" customFormat="1" x14ac:dyDescent="0.2">
      <c r="A231" s="132">
        <f t="shared" si="76"/>
        <v>18.641999999999999</v>
      </c>
      <c r="B231" s="132">
        <f t="shared" si="77"/>
        <v>4.0200000000000022</v>
      </c>
      <c r="C231" s="146">
        <f t="shared" si="56"/>
        <v>10471.285480509057</v>
      </c>
      <c r="D231" s="137">
        <f t="shared" si="57"/>
        <v>18.642473577971629</v>
      </c>
      <c r="E231" s="132">
        <f t="shared" si="58"/>
        <v>107.55656050056925</v>
      </c>
      <c r="G231" s="146"/>
      <c r="H231" s="184" t="str">
        <f t="shared" si="59"/>
        <v>0.5-0.069087177582465i</v>
      </c>
      <c r="I231" s="132" t="str">
        <f t="shared" si="60"/>
        <v>0.01-0.345435887912324i</v>
      </c>
      <c r="J231" s="132" t="str">
        <f t="shared" si="61"/>
        <v>0.144145572797165-0.222857158860007i</v>
      </c>
      <c r="K231" s="132"/>
      <c r="L231" s="132" t="str">
        <f t="shared" si="62"/>
        <v>0.156674300997689-0.178821388131004i</v>
      </c>
      <c r="M231" s="132" t="str">
        <f t="shared" si="63"/>
        <v>0.009+0.217116989358778i</v>
      </c>
      <c r="N231" s="132" t="str">
        <f t="shared" si="64"/>
        <v>0.6608730855396-1.23211577805205i</v>
      </c>
      <c r="O231" s="185">
        <f t="shared" si="65"/>
        <v>2.9111622136233555</v>
      </c>
      <c r="P231" s="185">
        <f t="shared" si="66"/>
        <v>-61.792112372704764</v>
      </c>
      <c r="Q231" s="132">
        <f t="shared" si="67"/>
        <v>65793.02707841745</v>
      </c>
      <c r="R231" s="132">
        <f t="shared" si="78"/>
        <v>4.0200000000000022</v>
      </c>
      <c r="S231" s="164">
        <f t="shared" si="68"/>
        <v>17.958115953000373</v>
      </c>
      <c r="T231" s="132" t="str">
        <f t="shared" si="69"/>
        <v>1+0.91504942060663i</v>
      </c>
      <c r="U231" s="138">
        <f t="shared" si="70"/>
        <v>0.68435762497125507</v>
      </c>
      <c r="V231" s="132">
        <f t="shared" si="71"/>
        <v>169.34867287327401</v>
      </c>
      <c r="W231" s="132">
        <f t="shared" si="72"/>
        <v>48.799822716287558</v>
      </c>
      <c r="X231" s="138">
        <f t="shared" si="73"/>
        <v>-74.073106018365721</v>
      </c>
      <c r="Y231" s="128" t="str">
        <f t="shared" si="74"/>
        <v>75.5774176975133-264.844699596678i</v>
      </c>
      <c r="Z231" s="128" t="str">
        <f t="shared" si="75"/>
        <v>-1266598.25567852i</v>
      </c>
      <c r="AA231" s="128" t="str">
        <f t="shared" si="79"/>
        <v>64900-104567.674752649i</v>
      </c>
      <c r="AB231" s="128" t="str">
        <f t="shared" si="80"/>
        <v>5900-191707.403713191i</v>
      </c>
      <c r="AC231" s="128" t="str">
        <f t="shared" si="81"/>
        <v>58299.7570094916-101030.576991348i</v>
      </c>
      <c r="AD231" s="128" t="str">
        <f t="shared" si="82"/>
        <v>82055.3373997652-46222.5946051089i</v>
      </c>
      <c r="AE231" s="128" t="str">
        <f t="shared" si="83"/>
        <v>-1.03938595920653+0.623776114188701i</v>
      </c>
      <c r="AF231" s="130"/>
      <c r="AG231" s="130"/>
      <c r="AH231" s="130"/>
      <c r="AI231" s="130"/>
      <c r="AJ231" s="130"/>
      <c r="AK231" s="130"/>
      <c r="AL231" s="130"/>
      <c r="AM231" s="130"/>
      <c r="AN231" s="130"/>
      <c r="AO231" s="130"/>
      <c r="AP231" s="130"/>
      <c r="AQ231" s="130"/>
      <c r="AR231" s="130"/>
      <c r="AS231" s="130"/>
    </row>
    <row r="232" spans="1:45" s="166" customFormat="1" x14ac:dyDescent="0.2">
      <c r="A232" s="132">
        <f t="shared" si="76"/>
        <v>18.585000000000001</v>
      </c>
      <c r="B232" s="132">
        <f t="shared" si="77"/>
        <v>4.0400000000000027</v>
      </c>
      <c r="C232" s="146">
        <f t="shared" si="56"/>
        <v>10964.781961431914</v>
      </c>
      <c r="D232" s="137">
        <f t="shared" si="57"/>
        <v>18.584780913129777</v>
      </c>
      <c r="E232" s="132">
        <f t="shared" si="58"/>
        <v>104.39580790204265</v>
      </c>
      <c r="G232" s="146"/>
      <c r="H232" s="184" t="str">
        <f t="shared" si="59"/>
        <v>0.5-0.0659777423804003i</v>
      </c>
      <c r="I232" s="132" t="str">
        <f t="shared" si="60"/>
        <v>0.01-0.329888711902001i</v>
      </c>
      <c r="J232" s="132" t="str">
        <f t="shared" si="61"/>
        <v>0.13676921763851-0.218552525751508i</v>
      </c>
      <c r="K232" s="132"/>
      <c r="L232" s="132" t="str">
        <f t="shared" si="62"/>
        <v>0.149982734851976-0.177186473921052i</v>
      </c>
      <c r="M232" s="132" t="str">
        <f t="shared" si="63"/>
        <v>0.009+0.227349397824439i</v>
      </c>
      <c r="N232" s="132" t="str">
        <f t="shared" si="64"/>
        <v>0.538160831544481-1.28430420417481i</v>
      </c>
      <c r="O232" s="185">
        <f t="shared" si="65"/>
        <v>2.87589986505035</v>
      </c>
      <c r="P232" s="185">
        <f t="shared" si="66"/>
        <v>-67.264897817966002</v>
      </c>
      <c r="Q232" s="132">
        <f t="shared" si="67"/>
        <v>68893.756916496772</v>
      </c>
      <c r="R232" s="132">
        <f t="shared" si="78"/>
        <v>4.0400000000000018</v>
      </c>
      <c r="S232" s="164">
        <f t="shared" si="68"/>
        <v>17.922853604427367</v>
      </c>
      <c r="T232" s="132" t="str">
        <f t="shared" si="69"/>
        <v>1+0.958174371194637i</v>
      </c>
      <c r="U232" s="138">
        <f t="shared" si="70"/>
        <v>0.66192730870241034</v>
      </c>
      <c r="V232" s="132">
        <f t="shared" si="71"/>
        <v>171.66070572000865</v>
      </c>
      <c r="W232" s="132">
        <f t="shared" si="72"/>
        <v>48.428905953586828</v>
      </c>
      <c r="X232" s="138">
        <f t="shared" si="73"/>
        <v>-74.761000022025101</v>
      </c>
      <c r="Y232" s="128" t="str">
        <f t="shared" si="74"/>
        <v>69.3659985513067-254.624160095247i</v>
      </c>
      <c r="Z232" s="128" t="str">
        <f t="shared" si="75"/>
        <v>-1209591.94364067i</v>
      </c>
      <c r="AA232" s="128" t="str">
        <f t="shared" si="79"/>
        <v>64900-99861.3541262805i</v>
      </c>
      <c r="AB232" s="128" t="str">
        <f t="shared" si="80"/>
        <v>5900-183079.149231515i</v>
      </c>
      <c r="AC232" s="128" t="str">
        <f t="shared" si="81"/>
        <v>58293.9669042821-96655.6967201581i</v>
      </c>
      <c r="AD232" s="128" t="str">
        <f t="shared" si="82"/>
        <v>80130.6377841246-47182.5489436625i</v>
      </c>
      <c r="AE232" s="128" t="str">
        <f t="shared" si="83"/>
        <v>-1.04090124343961+0.572667827117788i</v>
      </c>
      <c r="AF232" s="130"/>
      <c r="AG232" s="130"/>
      <c r="AH232" s="130"/>
      <c r="AI232" s="130"/>
      <c r="AJ232" s="130"/>
      <c r="AK232" s="130"/>
      <c r="AL232" s="130"/>
      <c r="AM232" s="130"/>
      <c r="AN232" s="130"/>
      <c r="AO232" s="130"/>
      <c r="AP232" s="130"/>
      <c r="AQ232" s="130"/>
      <c r="AR232" s="130"/>
      <c r="AS232" s="130"/>
    </row>
    <row r="233" spans="1:45" s="166" customFormat="1" x14ac:dyDescent="0.2">
      <c r="A233" s="132">
        <f t="shared" si="76"/>
        <v>18.468</v>
      </c>
      <c r="B233" s="132">
        <f t="shared" si="77"/>
        <v>4.0600000000000014</v>
      </c>
      <c r="C233" s="146">
        <f t="shared" si="56"/>
        <v>11481.536214968872</v>
      </c>
      <c r="D233" s="137">
        <f t="shared" si="57"/>
        <v>18.468304412770813</v>
      </c>
      <c r="E233" s="132">
        <f t="shared" si="58"/>
        <v>100.83860812039792</v>
      </c>
      <c r="G233" s="146"/>
      <c r="H233" s="184" t="str">
        <f t="shared" si="59"/>
        <v>0.5-0.0630082548157147i</v>
      </c>
      <c r="I233" s="132" t="str">
        <f t="shared" si="60"/>
        <v>0.01-0.315041274078574i</v>
      </c>
      <c r="J233" s="132" t="str">
        <f t="shared" si="61"/>
        <v>0.129559364812985-0.214060515207945i</v>
      </c>
      <c r="K233" s="132"/>
      <c r="L233" s="132" t="str">
        <f t="shared" si="62"/>
        <v>0.14331683598329-0.175320856539171i</v>
      </c>
      <c r="M233" s="132" t="str">
        <f t="shared" si="63"/>
        <v>0.009+0.238064044844151i</v>
      </c>
      <c r="N233" s="132" t="str">
        <f t="shared" si="64"/>
        <v>0.399061322986805-1.31541096543357i</v>
      </c>
      <c r="O233" s="185">
        <f t="shared" si="65"/>
        <v>2.7635975538248641</v>
      </c>
      <c r="P233" s="185">
        <f t="shared" si="66"/>
        <v>-73.123573292574022</v>
      </c>
      <c r="Q233" s="132">
        <f t="shared" si="67"/>
        <v>72140.61964974273</v>
      </c>
      <c r="R233" s="132">
        <f t="shared" si="78"/>
        <v>4.0600000000000014</v>
      </c>
      <c r="S233" s="164">
        <f t="shared" si="68"/>
        <v>17.810551293201883</v>
      </c>
      <c r="T233" s="132" t="str">
        <f t="shared" si="69"/>
        <v>1+1.00333173808862i</v>
      </c>
      <c r="U233" s="138">
        <f t="shared" si="70"/>
        <v>0.65775311956893023</v>
      </c>
      <c r="V233" s="132">
        <f t="shared" si="71"/>
        <v>173.96218141297194</v>
      </c>
      <c r="W233" s="132">
        <f t="shared" si="72"/>
        <v>48.055600989018394</v>
      </c>
      <c r="X233" s="138">
        <f t="shared" si="73"/>
        <v>-75.422407905745629</v>
      </c>
      <c r="Y233" s="128" t="str">
        <f t="shared" si="74"/>
        <v>63.6278900029795-244.663459891693i</v>
      </c>
      <c r="Z233" s="128" t="str">
        <f t="shared" si="75"/>
        <v>-1155151.3382881i</v>
      </c>
      <c r="AA233" s="128" t="str">
        <f t="shared" si="79"/>
        <v>64900-95366.8528206596i</v>
      </c>
      <c r="AB233" s="128" t="str">
        <f t="shared" si="80"/>
        <v>5900-174839.230171209i</v>
      </c>
      <c r="AC233" s="128" t="str">
        <f t="shared" si="81"/>
        <v>58287.6195019166-92485.798590673i</v>
      </c>
      <c r="AD233" s="128" t="str">
        <f t="shared" si="82"/>
        <v>78128.6346255771-48079.0766744558i</v>
      </c>
      <c r="AE233" s="128" t="str">
        <f t="shared" si="83"/>
        <v>-1.04266058124769+0.522794524900686i</v>
      </c>
      <c r="AF233" s="130"/>
      <c r="AG233" s="130"/>
      <c r="AH233" s="130"/>
      <c r="AI233" s="130"/>
      <c r="AJ233" s="130"/>
      <c r="AK233" s="130"/>
      <c r="AL233" s="130"/>
      <c r="AM233" s="130"/>
      <c r="AN233" s="130"/>
      <c r="AO233" s="130"/>
      <c r="AP233" s="130"/>
      <c r="AQ233" s="130"/>
      <c r="AR233" s="130"/>
      <c r="AS233" s="130"/>
    </row>
    <row r="234" spans="1:45" s="166" customFormat="1" x14ac:dyDescent="0.2">
      <c r="A234" s="132">
        <f t="shared" si="76"/>
        <v>18.277999999999999</v>
      </c>
      <c r="B234" s="132">
        <f t="shared" si="77"/>
        <v>4.0800000000000018</v>
      </c>
      <c r="C234" s="146">
        <f t="shared" si="56"/>
        <v>12022.644346174173</v>
      </c>
      <c r="D234" s="137">
        <f t="shared" si="57"/>
        <v>18.277642850596784</v>
      </c>
      <c r="E234" s="132">
        <f t="shared" si="58"/>
        <v>96.961081780376489</v>
      </c>
      <c r="G234" s="146"/>
      <c r="H234" s="184" t="str">
        <f t="shared" si="59"/>
        <v>0.5-0.060172416207157i</v>
      </c>
      <c r="I234" s="132" t="str">
        <f t="shared" si="60"/>
        <v>0.01-0.300862081035785i</v>
      </c>
      <c r="J234" s="132" t="str">
        <f t="shared" si="61"/>
        <v>0.122539901416694-0.209395358783899i</v>
      </c>
      <c r="K234" s="132"/>
      <c r="L234" s="132" t="str">
        <f t="shared" si="62"/>
        <v>0.136703409912953-0.173224842086689i</v>
      </c>
      <c r="M234" s="132" t="str">
        <f t="shared" si="63"/>
        <v>0.009+0.24928365762078i</v>
      </c>
      <c r="N234" s="132" t="str">
        <f t="shared" si="64"/>
        <v>0.249602800781458-1.31918213570258i</v>
      </c>
      <c r="O234" s="185">
        <f t="shared" si="65"/>
        <v>2.5588564942760654</v>
      </c>
      <c r="P234" s="185">
        <f t="shared" si="66"/>
        <v>-79.28571118388335</v>
      </c>
      <c r="Q234" s="132">
        <f t="shared" si="67"/>
        <v>75540.50230932729</v>
      </c>
      <c r="R234" s="132">
        <f t="shared" si="78"/>
        <v>4.080000000000001</v>
      </c>
      <c r="S234" s="164">
        <f t="shared" si="68"/>
        <v>17.605810233653084</v>
      </c>
      <c r="T234" s="132" t="str">
        <f t="shared" si="69"/>
        <v>1+1.05061730611812i</v>
      </c>
      <c r="U234" s="138">
        <f t="shared" si="70"/>
        <v>0.67183261694369922</v>
      </c>
      <c r="V234" s="132">
        <f t="shared" si="71"/>
        <v>176.24679296425984</v>
      </c>
      <c r="W234" s="132">
        <f t="shared" si="72"/>
        <v>47.680090962418895</v>
      </c>
      <c r="X234" s="138">
        <f t="shared" si="73"/>
        <v>-76.058035788672385</v>
      </c>
      <c r="Y234" s="128" t="str">
        <f t="shared" si="74"/>
        <v>58.3326290699506-234.973080391925i</v>
      </c>
      <c r="Z234" s="128" t="str">
        <f t="shared" si="75"/>
        <v>-1103160.96379788i</v>
      </c>
      <c r="AA234" s="128" t="str">
        <f t="shared" si="79"/>
        <v>64900-91074.6373959272i</v>
      </c>
      <c r="AB234" s="128" t="str">
        <f t="shared" si="80"/>
        <v>5900-166970.1685592i</v>
      </c>
      <c r="AC234" s="128" t="str">
        <f t="shared" si="81"/>
        <v>58280.6613021924-88512.0321408596i</v>
      </c>
      <c r="AD234" s="128" t="str">
        <f t="shared" si="82"/>
        <v>76053.5634343648-48904.5921945496i</v>
      </c>
      <c r="AE234" s="128" t="str">
        <f t="shared" si="83"/>
        <v>-1.04467868197159+0.474053593478237i</v>
      </c>
      <c r="AF234" s="130"/>
      <c r="AG234" s="130"/>
      <c r="AH234" s="130"/>
      <c r="AI234" s="130"/>
      <c r="AJ234" s="130"/>
      <c r="AK234" s="130"/>
      <c r="AL234" s="130"/>
      <c r="AM234" s="130"/>
      <c r="AN234" s="130"/>
      <c r="AO234" s="130"/>
      <c r="AP234" s="130"/>
      <c r="AQ234" s="130"/>
      <c r="AR234" s="130"/>
      <c r="AS234" s="130"/>
    </row>
    <row r="235" spans="1:45" s="166" customFormat="1" x14ac:dyDescent="0.2">
      <c r="A235" s="132">
        <f t="shared" si="76"/>
        <v>18.001000000000001</v>
      </c>
      <c r="B235" s="132">
        <f t="shared" si="77"/>
        <v>4.1000000000000005</v>
      </c>
      <c r="C235" s="146">
        <f t="shared" si="56"/>
        <v>12589.254117941693</v>
      </c>
      <c r="D235" s="137">
        <f t="shared" si="57"/>
        <v>18.000924984895747</v>
      </c>
      <c r="E235" s="132">
        <f t="shared" si="58"/>
        <v>92.874774401265626</v>
      </c>
      <c r="G235" s="146"/>
      <c r="H235" s="184" t="str">
        <f t="shared" si="59"/>
        <v>0.5-0.0574642113608311i</v>
      </c>
      <c r="I235" s="132" t="str">
        <f t="shared" si="60"/>
        <v>0.01-0.287321056804156i</v>
      </c>
      <c r="J235" s="132" t="str">
        <f t="shared" si="61"/>
        <v>0.115731904450346-0.204573558440252i</v>
      </c>
      <c r="K235" s="132"/>
      <c r="L235" s="132" t="str">
        <f t="shared" si="62"/>
        <v>0.13016859269726-0.170901972744426i</v>
      </c>
      <c r="M235" s="132" t="str">
        <f t="shared" si="63"/>
        <v>0.009+0.261032034457264i</v>
      </c>
      <c r="N235" s="132" t="str">
        <f t="shared" si="64"/>
        <v>0.0986483731607807-1.29190899484333i</v>
      </c>
      <c r="O235" s="185">
        <f t="shared" si="65"/>
        <v>2.2498870386767207</v>
      </c>
      <c r="P235" s="185">
        <f t="shared" si="66"/>
        <v>-85.633447442513699</v>
      </c>
      <c r="Q235" s="132">
        <f t="shared" si="67"/>
        <v>79100.616502201345</v>
      </c>
      <c r="R235" s="132">
        <f t="shared" si="78"/>
        <v>4.1000000000000005</v>
      </c>
      <c r="S235" s="164">
        <f t="shared" si="68"/>
        <v>17.296840778053738</v>
      </c>
      <c r="T235" s="132" t="str">
        <f t="shared" si="69"/>
        <v>1+1.10013137431262i</v>
      </c>
      <c r="U235" s="138">
        <f t="shared" si="70"/>
        <v>0.70408420684200956</v>
      </c>
      <c r="V235" s="132">
        <f t="shared" si="71"/>
        <v>178.50822184377932</v>
      </c>
      <c r="W235" s="132">
        <f t="shared" si="72"/>
        <v>47.302547037290225</v>
      </c>
      <c r="X235" s="138">
        <f t="shared" si="73"/>
        <v>-76.668614168498308</v>
      </c>
      <c r="Y235" s="128" t="str">
        <f t="shared" si="74"/>
        <v>53.4508054356089-225.560847562382i</v>
      </c>
      <c r="Z235" s="128" t="str">
        <f t="shared" si="75"/>
        <v>-1053510.54161524i</v>
      </c>
      <c r="AA235" s="128" t="str">
        <f t="shared" si="79"/>
        <v>64900-86975.603487701i</v>
      </c>
      <c r="AB235" s="128" t="str">
        <f t="shared" si="80"/>
        <v>5900-159455.273060786i</v>
      </c>
      <c r="AC235" s="128" t="str">
        <f t="shared" si="81"/>
        <v>58273.0336971085-84725.9621118141i</v>
      </c>
      <c r="AD235" s="128" t="str">
        <f t="shared" si="82"/>
        <v>73910.6145151492-49651.7930723286i</v>
      </c>
      <c r="AE235" s="128" t="str">
        <f t="shared" si="83"/>
        <v>-1.04697240543766+0.426345267578252i</v>
      </c>
      <c r="AF235" s="130"/>
      <c r="AG235" s="130"/>
      <c r="AH235" s="130"/>
      <c r="AI235" s="130"/>
      <c r="AJ235" s="130"/>
      <c r="AK235" s="130"/>
      <c r="AL235" s="130"/>
      <c r="AM235" s="130"/>
      <c r="AN235" s="130"/>
      <c r="AO235" s="130"/>
      <c r="AP235" s="130"/>
      <c r="AQ235" s="130"/>
      <c r="AR235" s="130"/>
      <c r="AS235" s="130"/>
    </row>
    <row r="236" spans="1:45" s="166" customFormat="1" x14ac:dyDescent="0.2">
      <c r="A236" s="132">
        <f t="shared" si="76"/>
        <v>17.632000000000001</v>
      </c>
      <c r="B236" s="132">
        <f t="shared" si="77"/>
        <v>4.120000000000001</v>
      </c>
      <c r="C236" s="146">
        <f t="shared" si="56"/>
        <v>13182.567385564091</v>
      </c>
      <c r="D236" s="137">
        <f t="shared" si="57"/>
        <v>17.632124818426501</v>
      </c>
      <c r="E236" s="132">
        <f t="shared" si="58"/>
        <v>88.716005910383217</v>
      </c>
      <c r="G236" s="146"/>
      <c r="H236" s="184" t="str">
        <f t="shared" si="59"/>
        <v>0.5-0.0548778958111626i</v>
      </c>
      <c r="I236" s="132" t="str">
        <f t="shared" si="60"/>
        <v>0.01-0.274389479055812i</v>
      </c>
      <c r="J236" s="132" t="str">
        <f t="shared" si="61"/>
        <v>0.109153467789992-0.199613417037609i</v>
      </c>
      <c r="K236" s="132"/>
      <c r="L236" s="132" t="str">
        <f t="shared" si="62"/>
        <v>0.123737410391976-0.168358854978624i</v>
      </c>
      <c r="M236" s="132" t="str">
        <f t="shared" si="63"/>
        <v>0.009+0.273334095236008i</v>
      </c>
      <c r="N236" s="132" t="str">
        <f t="shared" si="64"/>
        <v>-0.0436093055955372-1.23387187653147i</v>
      </c>
      <c r="O236" s="185">
        <f t="shared" si="65"/>
        <v>1.8308229597502872</v>
      </c>
      <c r="P236" s="185">
        <f t="shared" si="66"/>
        <v>-92.024188725341162</v>
      </c>
      <c r="Q236" s="132">
        <f t="shared" si="67"/>
        <v>82828.513707881109</v>
      </c>
      <c r="R236" s="132">
        <f t="shared" si="78"/>
        <v>4.12</v>
      </c>
      <c r="S236" s="164">
        <f t="shared" si="68"/>
        <v>16.877776699127306</v>
      </c>
      <c r="T236" s="132" t="str">
        <f t="shared" si="69"/>
        <v>1+1.15197896864921i</v>
      </c>
      <c r="U236" s="138">
        <f t="shared" si="70"/>
        <v>0.75434811929919399</v>
      </c>
      <c r="V236" s="132">
        <f t="shared" si="71"/>
        <v>180.74019463572438</v>
      </c>
      <c r="W236" s="132">
        <f t="shared" si="72"/>
        <v>46.923128848170478</v>
      </c>
      <c r="X236" s="138">
        <f t="shared" si="73"/>
        <v>-77.254891303445959</v>
      </c>
      <c r="Y236" s="128" t="str">
        <f t="shared" si="74"/>
        <v>48.9541873754261-216.432212408388i</v>
      </c>
      <c r="Z236" s="128" t="str">
        <f t="shared" si="75"/>
        <v>-1006094.75653798i</v>
      </c>
      <c r="AA236" s="128" t="str">
        <f t="shared" si="79"/>
        <v>64900-83061.0564954951i</v>
      </c>
      <c r="AB236" s="128" t="str">
        <f t="shared" si="80"/>
        <v>5900-152278.603575074i</v>
      </c>
      <c r="AC236" s="128" t="str">
        <f t="shared" si="81"/>
        <v>58264.6724889023-81119.5504351282i</v>
      </c>
      <c r="AD236" s="128" t="str">
        <f t="shared" si="82"/>
        <v>71705.9154457858-50313.8025979422i</v>
      </c>
      <c r="AE236" s="128" t="str">
        <f t="shared" si="83"/>
        <v>-1.0495608957737+0.379572487925123i</v>
      </c>
      <c r="AF236" s="130"/>
      <c r="AG236" s="130"/>
      <c r="AH236" s="130"/>
      <c r="AI236" s="130"/>
      <c r="AJ236" s="130"/>
      <c r="AK236" s="130"/>
      <c r="AL236" s="130"/>
      <c r="AM236" s="130"/>
      <c r="AN236" s="130"/>
      <c r="AO236" s="130"/>
      <c r="AP236" s="130"/>
      <c r="AQ236" s="130"/>
      <c r="AR236" s="130"/>
      <c r="AS236" s="130"/>
    </row>
    <row r="237" spans="1:45" s="166" customFormat="1" x14ac:dyDescent="0.2">
      <c r="A237" s="132">
        <f t="shared" si="76"/>
        <v>17.172000000000001</v>
      </c>
      <c r="B237" s="132">
        <f t="shared" si="77"/>
        <v>4.1399999999999997</v>
      </c>
      <c r="C237" s="146">
        <f t="shared" si="56"/>
        <v>13803.842646028841</v>
      </c>
      <c r="D237" s="137">
        <f t="shared" si="57"/>
        <v>17.172345531464305</v>
      </c>
      <c r="E237" s="132">
        <f t="shared" si="58"/>
        <v>84.627768117603864</v>
      </c>
      <c r="G237" s="146"/>
      <c r="H237" s="184" t="str">
        <f t="shared" si="59"/>
        <v>0.5-0.0524079836361172i</v>
      </c>
      <c r="I237" s="132" t="str">
        <f t="shared" si="60"/>
        <v>0.01-0.262039918180585i</v>
      </c>
      <c r="J237" s="132" t="str">
        <f t="shared" si="61"/>
        <v>0.102819611479533-0.19453456437511i</v>
      </c>
      <c r="K237" s="132"/>
      <c r="L237" s="132" t="str">
        <f t="shared" si="62"/>
        <v>0.117433379774382-0.165604918277589i</v>
      </c>
      <c r="M237" s="132" t="str">
        <f t="shared" si="63"/>
        <v>0.009+0.286215934277286i</v>
      </c>
      <c r="N237" s="132" t="str">
        <f t="shared" si="64"/>
        <v>-0.167896252527096-1.14965510640574i</v>
      </c>
      <c r="O237" s="185">
        <f t="shared" si="65"/>
        <v>1.3030031536770614</v>
      </c>
      <c r="P237" s="185">
        <f t="shared" si="66"/>
        <v>-98.308769462313506</v>
      </c>
      <c r="Q237" s="132">
        <f t="shared" si="67"/>
        <v>86732.10129614739</v>
      </c>
      <c r="R237" s="132">
        <f t="shared" si="78"/>
        <v>4.1399999999999997</v>
      </c>
      <c r="S237" s="164">
        <f t="shared" si="68"/>
        <v>16.349956893054078</v>
      </c>
      <c r="T237" s="132" t="str">
        <f t="shared" si="69"/>
        <v>1+1.20627006482682i</v>
      </c>
      <c r="U237" s="138">
        <f t="shared" si="70"/>
        <v>0.82238863841022791</v>
      </c>
      <c r="V237" s="132">
        <f t="shared" si="71"/>
        <v>182.93653757991737</v>
      </c>
      <c r="W237" s="132">
        <f t="shared" si="72"/>
        <v>46.541984990947931</v>
      </c>
      <c r="X237" s="138">
        <f t="shared" si="73"/>
        <v>-77.81762731800049</v>
      </c>
      <c r="Y237" s="128" t="str">
        <f t="shared" si="74"/>
        <v>44.8158114953946-207.590518279845i</v>
      </c>
      <c r="Z237" s="128" t="str">
        <f t="shared" si="75"/>
        <v>-960813.033328813i</v>
      </c>
      <c r="AA237" s="128" t="str">
        <f t="shared" si="79"/>
        <v>64900-79322.6931403055i</v>
      </c>
      <c r="AB237" s="128" t="str">
        <f t="shared" si="80"/>
        <v>5900-145424.937423893i</v>
      </c>
      <c r="AC237" s="128" t="str">
        <f t="shared" si="81"/>
        <v>58255.5073637647-77685.1390451695i</v>
      </c>
      <c r="AD237" s="128" t="str">
        <f t="shared" si="82"/>
        <v>69446.4885371842-50884.3129145736i</v>
      </c>
      <c r="AE237" s="128" t="str">
        <f t="shared" si="83"/>
        <v>-1.05246573271173+0.333640773943285i</v>
      </c>
      <c r="AF237" s="130"/>
      <c r="AG237" s="130"/>
      <c r="AH237" s="130"/>
      <c r="AI237" s="130"/>
      <c r="AJ237" s="130"/>
      <c r="AK237" s="130"/>
      <c r="AL237" s="130"/>
      <c r="AM237" s="130"/>
      <c r="AN237" s="130"/>
      <c r="AO237" s="130"/>
      <c r="AP237" s="130"/>
      <c r="AQ237" s="130"/>
      <c r="AR237" s="130"/>
      <c r="AS237" s="130"/>
    </row>
    <row r="238" spans="1:45" s="166" customFormat="1" x14ac:dyDescent="0.2">
      <c r="A238" s="132">
        <f t="shared" si="76"/>
        <v>16.63</v>
      </c>
      <c r="B238" s="132">
        <f t="shared" si="77"/>
        <v>4.16</v>
      </c>
      <c r="C238" s="146">
        <f t="shared" si="56"/>
        <v>14454.397707459266</v>
      </c>
      <c r="D238" s="137">
        <f t="shared" si="57"/>
        <v>16.629525098263962</v>
      </c>
      <c r="E238" s="132">
        <f t="shared" si="58"/>
        <v>80.739486679475178</v>
      </c>
      <c r="G238" s="146"/>
      <c r="H238" s="184" t="str">
        <f t="shared" si="59"/>
        <v>0.5-0.0500492358208247i</v>
      </c>
      <c r="I238" s="132" t="str">
        <f t="shared" si="60"/>
        <v>0.01-0.250246179104123i</v>
      </c>
      <c r="J238" s="132" t="str">
        <f t="shared" si="61"/>
        <v>0.0967422691498577-0.18935749422575i</v>
      </c>
      <c r="K238" s="132"/>
      <c r="L238" s="132" t="str">
        <f t="shared" si="62"/>
        <v>0.111278162498638-0.162652115147783i</v>
      </c>
      <c r="M238" s="132" t="str">
        <f t="shared" si="63"/>
        <v>0.009+0.299704875688807i</v>
      </c>
      <c r="N238" s="132" t="str">
        <f t="shared" si="64"/>
        <v>-0.267895016601149-1.04704262994405i</v>
      </c>
      <c r="O238" s="185">
        <f t="shared" si="65"/>
        <v>0.67467385982623296</v>
      </c>
      <c r="P238" s="185">
        <f t="shared" si="66"/>
        <v>-104.35174092376774</v>
      </c>
      <c r="Q238" s="132">
        <f t="shared" si="67"/>
        <v>90819.659299638355</v>
      </c>
      <c r="R238" s="132">
        <f t="shared" si="78"/>
        <v>4.1599999999999993</v>
      </c>
      <c r="S238" s="164">
        <f t="shared" si="68"/>
        <v>15.721627599203249</v>
      </c>
      <c r="T238" s="132" t="str">
        <f t="shared" si="69"/>
        <v>1+1.26311982153937i</v>
      </c>
      <c r="U238" s="138">
        <f t="shared" si="70"/>
        <v>0.90789749906071415</v>
      </c>
      <c r="V238" s="132">
        <f t="shared" si="71"/>
        <v>185.09122760324291</v>
      </c>
      <c r="W238" s="132">
        <f t="shared" si="72"/>
        <v>46.159253542668381</v>
      </c>
      <c r="X238" s="138">
        <f t="shared" si="73"/>
        <v>-78.357588994338272</v>
      </c>
      <c r="Y238" s="128" t="str">
        <f t="shared" si="74"/>
        <v>41.0100413471598-199.037252627866i</v>
      </c>
      <c r="Z238" s="128" t="str">
        <f t="shared" si="75"/>
        <v>-917569.323381784i</v>
      </c>
      <c r="AA238" s="128" t="str">
        <f t="shared" si="79"/>
        <v>64900-75752.5838522449i</v>
      </c>
      <c r="AB238" s="128" t="str">
        <f t="shared" si="80"/>
        <v>5900-138879.737062449i</v>
      </c>
      <c r="AC238" s="128" t="str">
        <f t="shared" si="81"/>
        <v>58245.461317386-74415.4334772732i</v>
      </c>
      <c r="AD238" s="128" t="str">
        <f t="shared" si="82"/>
        <v>67140.182576352-51357.723678523i</v>
      </c>
      <c r="AE238" s="128" t="str">
        <f t="shared" si="83"/>
        <v>-1.05571110127499+0.288458113158768i</v>
      </c>
      <c r="AF238" s="130"/>
      <c r="AG238" s="130"/>
      <c r="AH238" s="130"/>
      <c r="AI238" s="130"/>
      <c r="AJ238" s="130"/>
      <c r="AK238" s="130"/>
      <c r="AL238" s="130"/>
      <c r="AM238" s="130"/>
      <c r="AN238" s="130"/>
      <c r="AO238" s="130"/>
      <c r="AP238" s="130"/>
      <c r="AQ238" s="130"/>
      <c r="AR238" s="130"/>
      <c r="AS238" s="130"/>
    </row>
    <row r="239" spans="1:45" s="166" customFormat="1" x14ac:dyDescent="0.2">
      <c r="A239" s="132">
        <f t="shared" si="76"/>
        <v>16.016999999999999</v>
      </c>
      <c r="B239" s="132">
        <f t="shared" si="77"/>
        <v>4.1799999999999988</v>
      </c>
      <c r="C239" s="146">
        <f t="shared" si="56"/>
        <v>15135.612484362042</v>
      </c>
      <c r="D239" s="137">
        <f t="shared" si="57"/>
        <v>16.016694672536108</v>
      </c>
      <c r="E239" s="132">
        <f t="shared" si="58"/>
        <v>77.15116454847356</v>
      </c>
      <c r="G239" s="146"/>
      <c r="H239" s="184" t="str">
        <f t="shared" si="59"/>
        <v>0.5-0.0477966491449259i</v>
      </c>
      <c r="I239" s="132" t="str">
        <f t="shared" si="60"/>
        <v>0.01-0.23898324572463i</v>
      </c>
      <c r="J239" s="132" t="str">
        <f t="shared" si="61"/>
        <v>0.0909303464878079-0.184103125779487i</v>
      </c>
      <c r="K239" s="132"/>
      <c r="L239" s="132" t="str">
        <f t="shared" si="62"/>
        <v>0.105291281860203-0.159514575292292i</v>
      </c>
      <c r="M239" s="132" t="str">
        <f t="shared" si="63"/>
        <v>0.009+0.313829531323795i</v>
      </c>
      <c r="N239" s="132" t="str">
        <f t="shared" si="64"/>
        <v>-0.341190601833467-0.935012372183474i</v>
      </c>
      <c r="O239" s="185">
        <f t="shared" si="65"/>
        <v>-4.0757391836165224E-2</v>
      </c>
      <c r="P239" s="185">
        <f t="shared" si="66"/>
        <v>-110.04727405548925</v>
      </c>
      <c r="Q239" s="132">
        <f t="shared" si="67"/>
        <v>95099.8579769075</v>
      </c>
      <c r="R239" s="132">
        <f t="shared" si="78"/>
        <v>4.1799999999999988</v>
      </c>
      <c r="S239" s="164">
        <f t="shared" si="68"/>
        <v>15.006196347540852</v>
      </c>
      <c r="T239" s="132" t="str">
        <f t="shared" si="69"/>
        <v>1+1.32264882474283i</v>
      </c>
      <c r="U239" s="138">
        <f t="shared" si="70"/>
        <v>1.0104983249952542</v>
      </c>
      <c r="V239" s="132">
        <f t="shared" si="71"/>
        <v>187.19843860396281</v>
      </c>
      <c r="W239" s="132">
        <f t="shared" si="72"/>
        <v>45.775062599350527</v>
      </c>
      <c r="X239" s="138">
        <f t="shared" si="73"/>
        <v>-78.875545206290766</v>
      </c>
      <c r="Y239" s="128" t="str">
        <f t="shared" si="74"/>
        <v>37.5125996596854-190.772281691079i</v>
      </c>
      <c r="Z239" s="128" t="str">
        <f t="shared" si="75"/>
        <v>-876271.900990311i</v>
      </c>
      <c r="AA239" s="128" t="str">
        <f t="shared" si="79"/>
        <v>64900-72343.1559508609i</v>
      </c>
      <c r="AB239" s="128" t="str">
        <f t="shared" si="80"/>
        <v>5900-132629.119243245i</v>
      </c>
      <c r="AC239" s="128" t="str">
        <f t="shared" si="81"/>
        <v>58234.4500282111-71303.4872141532i</v>
      </c>
      <c r="AD239" s="128" t="str">
        <f t="shared" si="82"/>
        <v>64795.5793171663-51729.2709324012i</v>
      </c>
      <c r="AE239" s="128" t="str">
        <f t="shared" si="83"/>
        <v>-1.05932398082312+0.243934868744932i</v>
      </c>
      <c r="AF239" s="130"/>
      <c r="AG239" s="130"/>
      <c r="AH239" s="130"/>
      <c r="AI239" s="130"/>
      <c r="AJ239" s="130"/>
      <c r="AK239" s="130"/>
      <c r="AL239" s="130"/>
      <c r="AM239" s="130"/>
      <c r="AN239" s="130"/>
      <c r="AO239" s="130"/>
      <c r="AP239" s="130"/>
      <c r="AQ239" s="130"/>
      <c r="AR239" s="130"/>
      <c r="AS239" s="130"/>
    </row>
    <row r="240" spans="1:45" s="166" customFormat="1" x14ac:dyDescent="0.2">
      <c r="A240" s="132">
        <f t="shared" si="76"/>
        <v>15.35</v>
      </c>
      <c r="B240" s="132">
        <f t="shared" si="77"/>
        <v>4.1999999999999984</v>
      </c>
      <c r="C240" s="146">
        <f t="shared" si="56"/>
        <v>15848.93192461109</v>
      </c>
      <c r="D240" s="137">
        <f t="shared" si="57"/>
        <v>15.349507518356802</v>
      </c>
      <c r="E240" s="132">
        <f t="shared" si="58"/>
        <v>73.926002327479111</v>
      </c>
      <c r="G240" s="146"/>
      <c r="H240" s="184" t="str">
        <f t="shared" si="59"/>
        <v>0.5-0.0456454455700722i</v>
      </c>
      <c r="I240" s="132" t="str">
        <f t="shared" si="60"/>
        <v>0.01-0.228227227850361i</v>
      </c>
      <c r="J240" s="132" t="str">
        <f t="shared" si="61"/>
        <v>0.0853898415222245-0.178792400392632i</v>
      </c>
      <c r="K240" s="132"/>
      <c r="L240" s="132" t="str">
        <f t="shared" si="62"/>
        <v>0.099489907987711-0.156208228206877i</v>
      </c>
      <c r="M240" s="132" t="str">
        <f t="shared" si="63"/>
        <v>0.009+0.328619861470579i</v>
      </c>
      <c r="N240" s="132" t="str">
        <f t="shared" si="64"/>
        <v>-0.388917735562428-0.821774926967741i</v>
      </c>
      <c r="O240" s="185">
        <f t="shared" si="65"/>
        <v>-0.82719817161487552</v>
      </c>
      <c r="P240" s="185">
        <f t="shared" si="66"/>
        <v>-115.32657963277261</v>
      </c>
      <c r="Q240" s="132">
        <f t="shared" si="67"/>
        <v>99581.776203205882</v>
      </c>
      <c r="R240" s="132">
        <f t="shared" si="78"/>
        <v>4.1999999999999984</v>
      </c>
      <c r="S240" s="164">
        <f t="shared" si="68"/>
        <v>14.219755567762142</v>
      </c>
      <c r="T240" s="132" t="str">
        <f t="shared" si="69"/>
        <v>1+1.38498334343419i</v>
      </c>
      <c r="U240" s="138">
        <f t="shared" si="70"/>
        <v>1.1297519505946589</v>
      </c>
      <c r="V240" s="132">
        <f t="shared" si="71"/>
        <v>189.25258196025172</v>
      </c>
      <c r="W240" s="132">
        <f t="shared" si="72"/>
        <v>45.389530822141424</v>
      </c>
      <c r="X240" s="138">
        <f t="shared" si="73"/>
        <v>-79.372262949632898</v>
      </c>
      <c r="Y240" s="128" t="str">
        <f t="shared" si="74"/>
        <v>34.3005785392502-182.794067292517i</v>
      </c>
      <c r="Z240" s="128" t="str">
        <f t="shared" si="75"/>
        <v>-836833.168784657i</v>
      </c>
      <c r="AA240" s="128" t="str">
        <f t="shared" si="79"/>
        <v>64900-69087.1775824651i</v>
      </c>
      <c r="AB240" s="128" t="str">
        <f t="shared" si="80"/>
        <v>5900-126659.825567852i</v>
      </c>
      <c r="AC240" s="128" t="str">
        <f t="shared" si="81"/>
        <v>58222.3811739766-68342.6867440104i</v>
      </c>
      <c r="AD240" s="128" t="str">
        <f t="shared" si="82"/>
        <v>62421.8764324468-51995.140913822i</v>
      </c>
      <c r="AE240" s="128" t="str">
        <f t="shared" si="83"/>
        <v>-1.06333435449771+0.19998370693439i</v>
      </c>
      <c r="AF240" s="130"/>
      <c r="AG240" s="130"/>
      <c r="AH240" s="130"/>
      <c r="AI240" s="130"/>
      <c r="AJ240" s="130"/>
      <c r="AK240" s="130"/>
      <c r="AL240" s="130"/>
      <c r="AM240" s="130"/>
      <c r="AN240" s="130"/>
      <c r="AO240" s="130"/>
      <c r="AP240" s="130"/>
      <c r="AQ240" s="130"/>
      <c r="AR240" s="130"/>
      <c r="AS240" s="130"/>
    </row>
    <row r="241" spans="1:45" s="166" customFormat="1" x14ac:dyDescent="0.2">
      <c r="A241" s="132">
        <f t="shared" si="76"/>
        <v>14.644</v>
      </c>
      <c r="B241" s="132">
        <f t="shared" si="77"/>
        <v>4.2199999999999989</v>
      </c>
      <c r="C241" s="146">
        <f t="shared" si="56"/>
        <v>16595.869074375558</v>
      </c>
      <c r="D241" s="137">
        <f t="shared" si="57"/>
        <v>14.643881596594303</v>
      </c>
      <c r="E241" s="132">
        <f t="shared" si="58"/>
        <v>71.091511881522649</v>
      </c>
      <c r="G241" s="146"/>
      <c r="H241" s="184" t="str">
        <f t="shared" si="59"/>
        <v>0.5-0.0435910621050639i</v>
      </c>
      <c r="I241" s="132" t="str">
        <f t="shared" si="60"/>
        <v>0.01-0.21795531052532i</v>
      </c>
      <c r="J241" s="132" t="str">
        <f t="shared" si="61"/>
        <v>0.080124016104812-0.173445921786116i</v>
      </c>
      <c r="K241" s="132"/>
      <c r="L241" s="132" t="str">
        <f t="shared" si="62"/>
        <v>0.0938887138326388-0.152750408829068i</v>
      </c>
      <c r="M241" s="132" t="str">
        <f t="shared" si="63"/>
        <v>0.009+0.344107238402376i</v>
      </c>
      <c r="N241" s="132" t="str">
        <f t="shared" si="64"/>
        <v>-0.414582290116797-0.713559859582835i</v>
      </c>
      <c r="O241" s="185">
        <f t="shared" si="65"/>
        <v>-1.6682345878629774</v>
      </c>
      <c r="P241" s="185">
        <f t="shared" si="66"/>
        <v>-120.15682859763405</v>
      </c>
      <c r="Q241" s="132">
        <f t="shared" si="67"/>
        <v>104274.92072799259</v>
      </c>
      <c r="R241" s="132">
        <f t="shared" si="78"/>
        <v>4.219999999999998</v>
      </c>
      <c r="S241" s="164">
        <f t="shared" si="68"/>
        <v>13.378719151514041</v>
      </c>
      <c r="T241" s="132" t="str">
        <f t="shared" si="69"/>
        <v>1+1.45025559748492i</v>
      </c>
      <c r="U241" s="138">
        <f t="shared" si="70"/>
        <v>1.2651624450802632</v>
      </c>
      <c r="V241" s="132">
        <f t="shared" si="71"/>
        <v>191.2483404791567</v>
      </c>
      <c r="W241" s="132">
        <f t="shared" si="72"/>
        <v>45.002767983802634</v>
      </c>
      <c r="X241" s="138">
        <f t="shared" si="73"/>
        <v>-79.848503921094093</v>
      </c>
      <c r="Y241" s="128" t="str">
        <f t="shared" si="74"/>
        <v>31.3524315678852-175.099865491216i</v>
      </c>
      <c r="Z241" s="128" t="str">
        <f t="shared" si="75"/>
        <v>-799169.471926173i</v>
      </c>
      <c r="AA241" s="128" t="str">
        <f t="shared" si="79"/>
        <v>64900-65977.7423804003i</v>
      </c>
      <c r="AB241" s="128" t="str">
        <f t="shared" si="80"/>
        <v>5900-120959.194364067i</v>
      </c>
      <c r="AC241" s="128" t="str">
        <f t="shared" si="81"/>
        <v>58209.1536868145-65526.7372948728i</v>
      </c>
      <c r="AD241" s="128" t="str">
        <f t="shared" si="82"/>
        <v>60028.7498888271-52152.5638896704i</v>
      </c>
      <c r="AE241" s="128" t="str">
        <f t="shared" si="83"/>
        <v>-1.06777544016827+0.156519546331858i</v>
      </c>
      <c r="AF241" s="130"/>
      <c r="AG241" s="130"/>
      <c r="AH241" s="130"/>
      <c r="AI241" s="130"/>
      <c r="AJ241" s="130"/>
      <c r="AK241" s="130"/>
      <c r="AL241" s="130"/>
      <c r="AM241" s="130"/>
      <c r="AN241" s="130"/>
      <c r="AO241" s="130"/>
      <c r="AP241" s="130"/>
      <c r="AQ241" s="130"/>
      <c r="AR241" s="130"/>
      <c r="AS241" s="130"/>
    </row>
    <row r="242" spans="1:45" s="166" customFormat="1" x14ac:dyDescent="0.2">
      <c r="A242" s="132">
        <f t="shared" si="76"/>
        <v>13.914</v>
      </c>
      <c r="B242" s="132">
        <f t="shared" si="77"/>
        <v>4.2399999999999975</v>
      </c>
      <c r="C242" s="146">
        <f t="shared" si="56"/>
        <v>17378.008287493667</v>
      </c>
      <c r="D242" s="137">
        <f t="shared" si="57"/>
        <v>13.914302311965409</v>
      </c>
      <c r="E242" s="132">
        <f t="shared" si="58"/>
        <v>68.646209059842604</v>
      </c>
      <c r="G242" s="146"/>
      <c r="H242" s="184" t="str">
        <f t="shared" si="59"/>
        <v>0.5-0.0416291411271361i</v>
      </c>
      <c r="I242" s="132" t="str">
        <f t="shared" si="60"/>
        <v>0.01-0.208145705635681i</v>
      </c>
      <c r="J242" s="132" t="str">
        <f t="shared" si="61"/>
        <v>0.0751336073150345-0.168083645049533i</v>
      </c>
      <c r="K242" s="132"/>
      <c r="L242" s="132" t="str">
        <f t="shared" si="62"/>
        <v>0.0884998010400745-0.149159460415983i</v>
      </c>
      <c r="M242" s="132" t="str">
        <f t="shared" si="63"/>
        <v>0.009+0.360324512922083i</v>
      </c>
      <c r="N242" s="132" t="str">
        <f t="shared" si="64"/>
        <v>-0.422733211506674-0.614288223906083i</v>
      </c>
      <c r="O242" s="185">
        <f t="shared" si="65"/>
        <v>-2.5488350710467294</v>
      </c>
      <c r="P242" s="185">
        <f t="shared" si="66"/>
        <v>-124.53448620707469</v>
      </c>
      <c r="Q242" s="132">
        <f t="shared" si="67"/>
        <v>109189.24634002529</v>
      </c>
      <c r="R242" s="132">
        <f t="shared" si="78"/>
        <v>4.2399999999999975</v>
      </c>
      <c r="S242" s="164">
        <f t="shared" si="68"/>
        <v>12.498118668330287</v>
      </c>
      <c r="T242" s="132" t="str">
        <f t="shared" si="69"/>
        <v>1+1.51860403809707i</v>
      </c>
      <c r="U242" s="138">
        <f t="shared" si="70"/>
        <v>1.4161836436351223</v>
      </c>
      <c r="V242" s="132">
        <f t="shared" si="71"/>
        <v>193.1806952669173</v>
      </c>
      <c r="W242" s="132">
        <f t="shared" si="72"/>
        <v>44.614875509001081</v>
      </c>
      <c r="X242" s="138">
        <f t="shared" si="73"/>
        <v>-80.305021598425768</v>
      </c>
      <c r="Y242" s="128" t="str">
        <f t="shared" si="74"/>
        <v>28.6479512979557-167.685907272554i</v>
      </c>
      <c r="Z242" s="128" t="str">
        <f t="shared" si="75"/>
        <v>-763200.920664164i</v>
      </c>
      <c r="AA242" s="128" t="str">
        <f t="shared" si="79"/>
        <v>64900-63008.2548157147i</v>
      </c>
      <c r="AB242" s="128" t="str">
        <f t="shared" si="80"/>
        <v>5900-115515.13382881i</v>
      </c>
      <c r="AC242" s="128" t="str">
        <f t="shared" si="81"/>
        <v>58194.6569418747-62849.6492105971i</v>
      </c>
      <c r="AD242" s="128" t="str">
        <f t="shared" si="82"/>
        <v>57626.1998561356-52199.883802777i</v>
      </c>
      <c r="AE242" s="128" t="str">
        <f t="shared" si="83"/>
        <v>-1.07268394402073+0.11345953151846i</v>
      </c>
      <c r="AF242" s="130"/>
      <c r="AG242" s="130"/>
      <c r="AH242" s="130"/>
      <c r="AI242" s="130"/>
      <c r="AJ242" s="130"/>
      <c r="AK242" s="130"/>
      <c r="AL242" s="130"/>
      <c r="AM242" s="130"/>
      <c r="AN242" s="130"/>
      <c r="AO242" s="130"/>
      <c r="AP242" s="130"/>
      <c r="AQ242" s="130"/>
      <c r="AR242" s="130"/>
      <c r="AS242" s="130"/>
    </row>
    <row r="243" spans="1:45" s="166" customFormat="1" x14ac:dyDescent="0.2">
      <c r="A243" s="132">
        <f t="shared" si="76"/>
        <v>13.173</v>
      </c>
      <c r="B243" s="132">
        <f t="shared" si="77"/>
        <v>4.259999999999998</v>
      </c>
      <c r="C243" s="146">
        <f t="shared" si="56"/>
        <v>18197.008586099739</v>
      </c>
      <c r="D243" s="137">
        <f t="shared" si="57"/>
        <v>13.172919928960965</v>
      </c>
      <c r="E243" s="132">
        <f t="shared" si="58"/>
        <v>66.56834010848695</v>
      </c>
      <c r="G243" s="146"/>
      <c r="H243" s="184" t="str">
        <f t="shared" si="59"/>
        <v>0.5-0.039755521138855i</v>
      </c>
      <c r="I243" s="132" t="str">
        <f t="shared" si="60"/>
        <v>0.01-0.198777605694275i</v>
      </c>
      <c r="J243" s="132" t="str">
        <f t="shared" si="61"/>
        <v>0.0704170675325171-0.162724617171716i</v>
      </c>
      <c r="K243" s="132"/>
      <c r="L243" s="132" t="str">
        <f t="shared" si="62"/>
        <v>0.0833326918693922-0.145454347625565i</v>
      </c>
      <c r="M243" s="132" t="str">
        <f t="shared" si="63"/>
        <v>0.009+0.377306084043249i</v>
      </c>
      <c r="N243" s="132" t="str">
        <f t="shared" si="64"/>
        <v>-0.417939625975843-0.525862710620309i</v>
      </c>
      <c r="O243" s="185">
        <f t="shared" si="65"/>
        <v>-3.4562597955836205</v>
      </c>
      <c r="P243" s="185">
        <f t="shared" si="66"/>
        <v>-128.47660516120996</v>
      </c>
      <c r="Q243" s="132">
        <f t="shared" si="67"/>
        <v>114335.17698280266</v>
      </c>
      <c r="R243" s="132">
        <f t="shared" si="78"/>
        <v>4.2599999999999971</v>
      </c>
      <c r="S243" s="164">
        <f t="shared" si="68"/>
        <v>11.590693943793395</v>
      </c>
      <c r="T243" s="132" t="str">
        <f t="shared" si="69"/>
        <v>1+1.59017364147682i</v>
      </c>
      <c r="U243" s="138">
        <f t="shared" si="70"/>
        <v>1.5822259851675695</v>
      </c>
      <c r="V243" s="132">
        <f t="shared" si="71"/>
        <v>195.04494526969691</v>
      </c>
      <c r="W243" s="132">
        <f t="shared" si="72"/>
        <v>44.225947003192488</v>
      </c>
      <c r="X243" s="138">
        <f t="shared" si="73"/>
        <v>-80.742558774805559</v>
      </c>
      <c r="Y243" s="128" t="str">
        <f t="shared" si="74"/>
        <v>26.1682352146979-160.547561794679i</v>
      </c>
      <c r="Z243" s="128" t="str">
        <f t="shared" si="75"/>
        <v>-728851.220879011i</v>
      </c>
      <c r="AA243" s="128" t="str">
        <f t="shared" si="79"/>
        <v>64900-60172.416207157i</v>
      </c>
      <c r="AB243" s="128" t="str">
        <f t="shared" si="80"/>
        <v>5900-110316.096379788i</v>
      </c>
      <c r="AC243" s="128" t="str">
        <f t="shared" si="81"/>
        <v>58178.7698741401-60305.7249347236i</v>
      </c>
      <c r="AD243" s="128" t="str">
        <f t="shared" si="82"/>
        <v>55224.3852199571-52136.6005119704i</v>
      </c>
      <c r="AE243" s="128" t="str">
        <f t="shared" si="83"/>
        <v>-1.07810033795489+0.0707230337416238i</v>
      </c>
      <c r="AF243" s="130"/>
      <c r="AG243" s="130"/>
      <c r="AH243" s="130"/>
      <c r="AI243" s="130"/>
      <c r="AJ243" s="130"/>
      <c r="AK243" s="130"/>
      <c r="AL243" s="130"/>
      <c r="AM243" s="130"/>
      <c r="AN243" s="130"/>
      <c r="AO243" s="130"/>
      <c r="AP243" s="130"/>
      <c r="AQ243" s="130"/>
      <c r="AR243" s="130"/>
      <c r="AS243" s="130"/>
    </row>
    <row r="244" spans="1:45" s="166" customFormat="1" x14ac:dyDescent="0.2">
      <c r="A244" s="132">
        <f t="shared" si="76"/>
        <v>12.429</v>
      </c>
      <c r="B244" s="132">
        <f t="shared" si="77"/>
        <v>4.2799999999999967</v>
      </c>
      <c r="C244" s="146">
        <f t="shared" si="56"/>
        <v>19054.607179632338</v>
      </c>
      <c r="D244" s="137">
        <f t="shared" si="57"/>
        <v>12.429295940663938</v>
      </c>
      <c r="E244" s="132">
        <f t="shared" si="58"/>
        <v>64.8240626038816</v>
      </c>
      <c r="G244" s="146"/>
      <c r="H244" s="184" t="str">
        <f t="shared" si="59"/>
        <v>0.5-0.0379662279410251i</v>
      </c>
      <c r="I244" s="132" t="str">
        <f t="shared" si="60"/>
        <v>0.01-0.189831139705126i</v>
      </c>
      <c r="J244" s="132" t="str">
        <f t="shared" si="61"/>
        <v>0.0659708224839127-0.157386769468012i</v>
      </c>
      <c r="K244" s="132"/>
      <c r="L244" s="132" t="str">
        <f t="shared" si="62"/>
        <v>0.0783943809476582-0.141654291000759i</v>
      </c>
      <c r="M244" s="132" t="str">
        <f t="shared" si="63"/>
        <v>0.009+0.395087971954977i</v>
      </c>
      <c r="N244" s="132" t="str">
        <f t="shared" si="64"/>
        <v>-0.404204698965163-0.44871541920427i</v>
      </c>
      <c r="O244" s="185">
        <f t="shared" si="65"/>
        <v>-4.3803212592598033</v>
      </c>
      <c r="P244" s="185">
        <f t="shared" si="66"/>
        <v>-132.01265688607745</v>
      </c>
      <c r="Q244" s="132">
        <f t="shared" si="67"/>
        <v>119723.62786514456</v>
      </c>
      <c r="R244" s="132">
        <f t="shared" si="78"/>
        <v>4.2799999999999967</v>
      </c>
      <c r="S244" s="164">
        <f t="shared" si="68"/>
        <v>10.666632480117213</v>
      </c>
      <c r="T244" s="132" t="str">
        <f t="shared" si="69"/>
        <v>1+1.66511621634843i</v>
      </c>
      <c r="U244" s="138">
        <f t="shared" si="70"/>
        <v>1.7626634605467242</v>
      </c>
      <c r="V244" s="132">
        <f t="shared" si="71"/>
        <v>196.83671948995905</v>
      </c>
      <c r="W244" s="132">
        <f t="shared" si="72"/>
        <v>43.836068766031943</v>
      </c>
      <c r="X244" s="138">
        <f t="shared" si="73"/>
        <v>-81.161845502563878</v>
      </c>
      <c r="Y244" s="128" t="str">
        <f t="shared" si="74"/>
        <v>23.8956428312656-153.679482951199i</v>
      </c>
      <c r="Z244" s="128" t="str">
        <f t="shared" si="75"/>
        <v>-696047.51225213i</v>
      </c>
      <c r="AA244" s="128" t="str">
        <f t="shared" si="79"/>
        <v>64900-57464.2113608311i</v>
      </c>
      <c r="AB244" s="128" t="str">
        <f t="shared" si="80"/>
        <v>5900-105351.054161524i</v>
      </c>
      <c r="AC244" s="128" t="str">
        <f t="shared" si="81"/>
        <v>58161.3600177758-57889.5465690036i</v>
      </c>
      <c r="AD244" s="128" t="str">
        <f t="shared" si="82"/>
        <v>52833.4524463743-51963.3826363185i</v>
      </c>
      <c r="AE244" s="128" t="str">
        <f t="shared" si="83"/>
        <v>-1.08406916195565+0.0282316819434608i</v>
      </c>
      <c r="AF244" s="130"/>
      <c r="AG244" s="130"/>
      <c r="AH244" s="130"/>
      <c r="AI244" s="130"/>
      <c r="AJ244" s="130"/>
      <c r="AK244" s="130"/>
      <c r="AL244" s="130"/>
      <c r="AM244" s="130"/>
      <c r="AN244" s="130"/>
      <c r="AO244" s="130"/>
      <c r="AP244" s="130"/>
      <c r="AQ244" s="130"/>
      <c r="AR244" s="130"/>
      <c r="AS244" s="130"/>
    </row>
    <row r="245" spans="1:45" s="166" customFormat="1" x14ac:dyDescent="0.2">
      <c r="A245" s="132">
        <f t="shared" si="76"/>
        <v>11.691000000000001</v>
      </c>
      <c r="B245" s="132">
        <f t="shared" si="77"/>
        <v>4.2999999999999972</v>
      </c>
      <c r="C245" s="146">
        <f t="shared" si="56"/>
        <v>19952.62314968865</v>
      </c>
      <c r="D245" s="137">
        <f t="shared" si="57"/>
        <v>11.69055873930496</v>
      </c>
      <c r="E245" s="132">
        <f t="shared" si="58"/>
        <v>63.373854690648585</v>
      </c>
      <c r="G245" s="146"/>
      <c r="H245" s="184" t="str">
        <f t="shared" si="59"/>
        <v>0.5-0.0362574662028789i</v>
      </c>
      <c r="I245" s="132" t="str">
        <f t="shared" si="60"/>
        <v>0.01-0.181287331014394i</v>
      </c>
      <c r="J245" s="132" t="str">
        <f t="shared" si="61"/>
        <v>0.0617895375517078-0.152086760298805i</v>
      </c>
      <c r="K245" s="132"/>
      <c r="L245" s="132" t="str">
        <f t="shared" si="62"/>
        <v>0.0736894388729863-0.13777843189828i</v>
      </c>
      <c r="M245" s="132" t="str">
        <f t="shared" si="63"/>
        <v>0.009+0.41370789442559i</v>
      </c>
      <c r="N245" s="132" t="str">
        <f t="shared" si="64"/>
        <v>-0.38474166612976-0.382356818260652i</v>
      </c>
      <c r="O245" s="185">
        <f t="shared" si="65"/>
        <v>-5.3132354869901013</v>
      </c>
      <c r="P245" s="185">
        <f t="shared" si="66"/>
        <v>-135.17812742461646</v>
      </c>
      <c r="Q245" s="132">
        <f t="shared" si="67"/>
        <v>125366.02861381501</v>
      </c>
      <c r="R245" s="132">
        <f t="shared" si="78"/>
        <v>4.2999999999999963</v>
      </c>
      <c r="S245" s="164">
        <f t="shared" si="68"/>
        <v>9.7337182523869163</v>
      </c>
      <c r="T245" s="132" t="str">
        <f t="shared" si="69"/>
        <v>1+1.74359072596094i</v>
      </c>
      <c r="U245" s="138">
        <f t="shared" si="70"/>
        <v>1.9568404869180436</v>
      </c>
      <c r="V245" s="132">
        <f t="shared" si="71"/>
        <v>198.55198211526505</v>
      </c>
      <c r="W245" s="132">
        <f t="shared" si="72"/>
        <v>43.445320286232416</v>
      </c>
      <c r="X245" s="138">
        <f t="shared" si="73"/>
        <v>-81.563597403462012</v>
      </c>
      <c r="Y245" s="128" t="str">
        <f t="shared" si="74"/>
        <v>21.8137462003521-147.075740177911i</v>
      </c>
      <c r="Z245" s="128" t="str">
        <f t="shared" si="75"/>
        <v>-664720.213719446i</v>
      </c>
      <c r="AA245" s="128" t="str">
        <f t="shared" si="79"/>
        <v>64900-54877.8958111626i</v>
      </c>
      <c r="AB245" s="128" t="str">
        <f t="shared" si="80"/>
        <v>5900-100609.475653798i</v>
      </c>
      <c r="AC245" s="128" t="str">
        <f t="shared" si="81"/>
        <v>58142.2824620673-55595.963973844i</v>
      </c>
      <c r="AD245" s="128" t="str">
        <f t="shared" si="82"/>
        <v>50463.3648902653-51682.0503932867i</v>
      </c>
      <c r="AE245" s="128" t="str">
        <f t="shared" si="83"/>
        <v>-1.0906393525688-0.0140905720999285i</v>
      </c>
      <c r="AF245" s="130"/>
      <c r="AG245" s="130"/>
      <c r="AH245" s="130"/>
      <c r="AI245" s="130"/>
      <c r="AJ245" s="130"/>
      <c r="AK245" s="130"/>
      <c r="AL245" s="130"/>
      <c r="AM245" s="130"/>
      <c r="AN245" s="130"/>
      <c r="AO245" s="130"/>
      <c r="AP245" s="130"/>
      <c r="AQ245" s="130"/>
      <c r="AR245" s="130"/>
      <c r="AS245" s="130"/>
    </row>
    <row r="246" spans="1:45" s="166" customFormat="1" x14ac:dyDescent="0.2">
      <c r="A246" s="132">
        <f t="shared" si="76"/>
        <v>10.962</v>
      </c>
      <c r="B246" s="132">
        <f t="shared" si="77"/>
        <v>4.3199999999999958</v>
      </c>
      <c r="C246" s="146">
        <f t="shared" si="56"/>
        <v>20892.961308540202</v>
      </c>
      <c r="D246" s="137">
        <f t="shared" si="57"/>
        <v>10.961756237729722</v>
      </c>
      <c r="E246" s="132">
        <f t="shared" si="58"/>
        <v>62.176934949844082</v>
      </c>
      <c r="G246" s="146"/>
      <c r="H246" s="184" t="str">
        <f t="shared" si="59"/>
        <v>0.5-0.0346256114116722i</v>
      </c>
      <c r="I246" s="132" t="str">
        <f t="shared" si="60"/>
        <v>0.01-0.173128057058361i</v>
      </c>
      <c r="J246" s="132" t="str">
        <f t="shared" si="61"/>
        <v>0.0578663838944636-0.146839864917896i</v>
      </c>
      <c r="K246" s="132"/>
      <c r="L246" s="132" t="str">
        <f t="shared" si="62"/>
        <v>0.0692201585690873-0.13384553455755i</v>
      </c>
      <c r="M246" s="132" t="str">
        <f t="shared" si="63"/>
        <v>0.009+0.433205346807062i</v>
      </c>
      <c r="N246" s="132" t="str">
        <f t="shared" si="64"/>
        <v>-0.361974976600018-0.325808256973014i</v>
      </c>
      <c r="O246" s="185">
        <f t="shared" si="65"/>
        <v>-6.2492760432670007</v>
      </c>
      <c r="P246" s="185">
        <f t="shared" si="66"/>
        <v>-138.01009604369725</v>
      </c>
      <c r="Q246" s="132">
        <f t="shared" si="67"/>
        <v>131274.34751729137</v>
      </c>
      <c r="R246" s="132">
        <f t="shared" si="78"/>
        <v>4.3199999999999958</v>
      </c>
      <c r="S246" s="164">
        <f t="shared" si="68"/>
        <v>8.797677696110016</v>
      </c>
      <c r="T246" s="132" t="str">
        <f t="shared" si="69"/>
        <v>1+1.82576362527049i</v>
      </c>
      <c r="U246" s="138">
        <f t="shared" si="70"/>
        <v>2.164078541619705</v>
      </c>
      <c r="V246" s="132">
        <f t="shared" si="71"/>
        <v>200.18703099354133</v>
      </c>
      <c r="W246" s="132">
        <f t="shared" si="72"/>
        <v>43.053774715637203</v>
      </c>
      <c r="X246" s="138">
        <f t="shared" si="73"/>
        <v>-81.948514305351196</v>
      </c>
      <c r="Y246" s="128" t="str">
        <f t="shared" si="74"/>
        <v>19.9072757776414-140.729934537686i</v>
      </c>
      <c r="Z246" s="128" t="str">
        <f t="shared" si="75"/>
        <v>-634802.875880655i</v>
      </c>
      <c r="AA246" s="128" t="str">
        <f t="shared" si="79"/>
        <v>64900-52407.9836361172i</v>
      </c>
      <c r="AB246" s="128" t="str">
        <f t="shared" si="80"/>
        <v>5900-96081.3033328813i</v>
      </c>
      <c r="AC246" s="128" t="str">
        <f t="shared" si="81"/>
        <v>58121.3787177402-53420.0833782343i</v>
      </c>
      <c r="AD246" s="128" t="str">
        <f t="shared" si="82"/>
        <v>48123.7386115051-51295.5292456651i</v>
      </c>
      <c r="AE246" s="128" t="str">
        <f t="shared" si="83"/>
        <v>-1.09786459853743-0.0563173501668165i</v>
      </c>
      <c r="AF246" s="130"/>
      <c r="AG246" s="130"/>
      <c r="AH246" s="130"/>
      <c r="AI246" s="130"/>
      <c r="AJ246" s="130"/>
      <c r="AK246" s="130"/>
      <c r="AL246" s="130"/>
      <c r="AM246" s="130"/>
      <c r="AN246" s="130"/>
      <c r="AO246" s="130"/>
      <c r="AP246" s="130"/>
      <c r="AQ246" s="130"/>
      <c r="AR246" s="130"/>
      <c r="AS246" s="130"/>
    </row>
    <row r="247" spans="1:45" s="166" customFormat="1" x14ac:dyDescent="0.2">
      <c r="A247" s="132">
        <f t="shared" si="76"/>
        <v>10.246</v>
      </c>
      <c r="B247" s="132">
        <f t="shared" si="77"/>
        <v>4.3399999999999963</v>
      </c>
      <c r="C247" s="146">
        <f t="shared" si="56"/>
        <v>21877.616239495317</v>
      </c>
      <c r="D247" s="137">
        <f t="shared" si="57"/>
        <v>10.246262536981648</v>
      </c>
      <c r="E247" s="132">
        <f t="shared" si="58"/>
        <v>61.193988286507931</v>
      </c>
      <c r="G247" s="146"/>
      <c r="H247" s="184" t="str">
        <f t="shared" si="59"/>
        <v>0.5-0.0330672021846062i</v>
      </c>
      <c r="I247" s="132" t="str">
        <f t="shared" si="60"/>
        <v>0.01-0.165336010923031i</v>
      </c>
      <c r="J247" s="132" t="str">
        <f t="shared" si="61"/>
        <v>0.0541932973446411-0.141659908159387i</v>
      </c>
      <c r="K247" s="132"/>
      <c r="L247" s="132" t="str">
        <f t="shared" si="62"/>
        <v>0.0649867347993907-0.129873729649387i</v>
      </c>
      <c r="M247" s="132" t="str">
        <f t="shared" si="63"/>
        <v>0.009+0.453621685809965i</v>
      </c>
      <c r="N247" s="132" t="str">
        <f t="shared" si="64"/>
        <v>-0.337648805735866-0.277896016739878i</v>
      </c>
      <c r="O247" s="185">
        <f t="shared" si="65"/>
        <v>-7.1843736138815339</v>
      </c>
      <c r="P247" s="185">
        <f t="shared" si="66"/>
        <v>-140.5445017594264</v>
      </c>
      <c r="Q247" s="132">
        <f t="shared" si="67"/>
        <v>137461.11691211048</v>
      </c>
      <c r="R247" s="132">
        <f t="shared" si="78"/>
        <v>4.3399999999999954</v>
      </c>
      <c r="S247" s="164">
        <f t="shared" si="68"/>
        <v>7.8625801254954828</v>
      </c>
      <c r="T247" s="132" t="str">
        <f t="shared" si="69"/>
        <v>1+1.91180921401363i</v>
      </c>
      <c r="U247" s="138">
        <f t="shared" si="70"/>
        <v>2.3836824114861654</v>
      </c>
      <c r="V247" s="132">
        <f t="shared" si="71"/>
        <v>201.73849004593433</v>
      </c>
      <c r="W247" s="132">
        <f t="shared" si="72"/>
        <v>42.661499320980134</v>
      </c>
      <c r="X247" s="138">
        <f t="shared" si="73"/>
        <v>-82.317279167859553</v>
      </c>
      <c r="Y247" s="128" t="str">
        <f t="shared" si="74"/>
        <v>18.1620632575696-134.635301174896i</v>
      </c>
      <c r="Z247" s="128" t="str">
        <f t="shared" si="75"/>
        <v>-606232.040051112i</v>
      </c>
      <c r="AA247" s="128" t="str">
        <f t="shared" si="79"/>
        <v>64900-50049.2358208247i</v>
      </c>
      <c r="AB247" s="128" t="str">
        <f t="shared" si="80"/>
        <v>5900-91756.9323381784i</v>
      </c>
      <c r="AC247" s="128" t="str">
        <f t="shared" si="81"/>
        <v>58098.4754871893-51357.2564668043i</v>
      </c>
      <c r="AD247" s="128" t="str">
        <f t="shared" si="82"/>
        <v>45823.6903695436-50807.7765355975i</v>
      </c>
      <c r="AE247" s="128" t="str">
        <f t="shared" si="83"/>
        <v>-1.10580372452657-0.0985197004783673i</v>
      </c>
      <c r="AF247" s="130"/>
      <c r="AG247" s="130"/>
      <c r="AH247" s="130"/>
      <c r="AI247" s="130"/>
      <c r="AJ247" s="130"/>
      <c r="AK247" s="130"/>
      <c r="AL247" s="130"/>
      <c r="AM247" s="130"/>
      <c r="AN247" s="130"/>
      <c r="AO247" s="130"/>
      <c r="AP247" s="130"/>
      <c r="AQ247" s="130"/>
      <c r="AR247" s="130"/>
      <c r="AS247" s="130"/>
    </row>
    <row r="248" spans="1:45" s="166" customFormat="1" x14ac:dyDescent="0.2">
      <c r="A248" s="132">
        <f t="shared" si="76"/>
        <v>9.5459999999999994</v>
      </c>
      <c r="B248" s="132">
        <f t="shared" si="77"/>
        <v>4.359999999999995</v>
      </c>
      <c r="C248" s="146">
        <f t="shared" si="56"/>
        <v>22908.676527677468</v>
      </c>
      <c r="D248" s="137">
        <f t="shared" si="57"/>
        <v>9.5461606437009205</v>
      </c>
      <c r="E248" s="132">
        <f t="shared" si="58"/>
        <v>60.388645730134954</v>
      </c>
      <c r="G248" s="146"/>
      <c r="H248" s="184" t="str">
        <f t="shared" si="59"/>
        <v>0.5-0.0315789329267708i</v>
      </c>
      <c r="I248" s="132" t="str">
        <f t="shared" si="60"/>
        <v>0.01-0.157894664633854i</v>
      </c>
      <c r="J248" s="132" t="str">
        <f t="shared" si="61"/>
        <v>0.0507612245117167-0.136559234943877i</v>
      </c>
      <c r="K248" s="132"/>
      <c r="L248" s="132" t="str">
        <f t="shared" si="62"/>
        <v>0.0609874673101-0.125880301427185i</v>
      </c>
      <c r="M248" s="132" t="str">
        <f t="shared" si="63"/>
        <v>0.009+0.475000217226589i</v>
      </c>
      <c r="N248" s="132" t="str">
        <f t="shared" si="64"/>
        <v>-0.312967621898735-0.237429246415392i</v>
      </c>
      <c r="O248" s="185">
        <f t="shared" si="65"/>
        <v>-8.1157390338116659</v>
      </c>
      <c r="P248" s="185">
        <f t="shared" si="66"/>
        <v>-142.81465059262101</v>
      </c>
      <c r="Q248" s="132">
        <f t="shared" si="67"/>
        <v>143939.45976563293</v>
      </c>
      <c r="R248" s="132">
        <f t="shared" si="78"/>
        <v>4.359999999999995</v>
      </c>
      <c r="S248" s="164">
        <f t="shared" si="68"/>
        <v>6.9312147055653517</v>
      </c>
      <c r="T248" s="132" t="str">
        <f t="shared" si="69"/>
        <v>1+2.00191000642042i</v>
      </c>
      <c r="U248" s="138">
        <f t="shared" si="70"/>
        <v>2.6149459381355689</v>
      </c>
      <c r="V248" s="132">
        <f t="shared" si="71"/>
        <v>203.20329632275596</v>
      </c>
      <c r="W248" s="132">
        <f t="shared" si="72"/>
        <v>42.268555912398327</v>
      </c>
      <c r="X248" s="138">
        <f t="shared" si="73"/>
        <v>-82.670557262663749</v>
      </c>
      <c r="Y248" s="128" t="str">
        <f t="shared" si="74"/>
        <v>16.5649827217262-128.784799249717i</v>
      </c>
      <c r="Z248" s="128" t="str">
        <f t="shared" si="75"/>
        <v>-578947.103657463i</v>
      </c>
      <c r="AA248" s="128" t="str">
        <f t="shared" si="79"/>
        <v>64900-47796.6491449259i</v>
      </c>
      <c r="AB248" s="128" t="str">
        <f t="shared" si="80"/>
        <v>5900-87627.1900990311i</v>
      </c>
      <c r="AC248" s="128" t="str">
        <f t="shared" si="81"/>
        <v>58073.3833319565-49403.0699115925i</v>
      </c>
      <c r="AD248" s="128" t="str">
        <f t="shared" si="82"/>
        <v>43571.7027421127-50223.6844846578i</v>
      </c>
      <c r="AE248" s="128" t="str">
        <f t="shared" si="83"/>
        <v>-1.11452110366892-0.14076590130784i</v>
      </c>
      <c r="AF248" s="130"/>
      <c r="AG248" s="130"/>
      <c r="AH248" s="130"/>
      <c r="AI248" s="130"/>
      <c r="AJ248" s="130"/>
      <c r="AK248" s="130"/>
      <c r="AL248" s="130"/>
      <c r="AM248" s="130"/>
      <c r="AN248" s="130"/>
      <c r="AO248" s="130"/>
      <c r="AP248" s="130"/>
      <c r="AQ248" s="130"/>
      <c r="AR248" s="130"/>
      <c r="AS248" s="130"/>
    </row>
    <row r="249" spans="1:45" s="166" customFormat="1" x14ac:dyDescent="0.2">
      <c r="A249" s="132">
        <f t="shared" si="76"/>
        <v>8.8629999999999995</v>
      </c>
      <c r="B249" s="132">
        <f t="shared" si="77"/>
        <v>4.3799999999999946</v>
      </c>
      <c r="C249" s="146">
        <f t="shared" si="56"/>
        <v>23988.329190194625</v>
      </c>
      <c r="D249" s="137">
        <f t="shared" si="57"/>
        <v>8.8625681406375776</v>
      </c>
      <c r="E249" s="132">
        <f t="shared" si="58"/>
        <v>59.728133841732642</v>
      </c>
      <c r="G249" s="146"/>
      <c r="H249" s="184" t="str">
        <f t="shared" si="59"/>
        <v>0.5-0.0301576468195343i</v>
      </c>
      <c r="I249" s="132" t="str">
        <f t="shared" si="60"/>
        <v>0.01-0.150788234097672i</v>
      </c>
      <c r="J249" s="132" t="str">
        <f t="shared" si="61"/>
        <v>0.0475603519364329-0.131548713214041i</v>
      </c>
      <c r="K249" s="132"/>
      <c r="L249" s="132" t="str">
        <f t="shared" si="62"/>
        <v>0.0572189785877769-0.121881518637169i</v>
      </c>
      <c r="M249" s="132" t="str">
        <f t="shared" si="63"/>
        <v>0.009+0.497386287788339i</v>
      </c>
      <c r="N249" s="132" t="str">
        <f t="shared" si="64"/>
        <v>-0.288730036949598-0.203295385288324i</v>
      </c>
      <c r="O249" s="185">
        <f t="shared" si="65"/>
        <v>-9.0415427642312203</v>
      </c>
      <c r="P249" s="185">
        <f t="shared" si="66"/>
        <v>-144.85054863876985</v>
      </c>
      <c r="Q249" s="132">
        <f t="shared" si="67"/>
        <v>150723.11751161804</v>
      </c>
      <c r="R249" s="132">
        <f t="shared" si="78"/>
        <v>4.3799999999999946</v>
      </c>
      <c r="S249" s="164">
        <f t="shared" si="68"/>
        <v>6.0054109751457965</v>
      </c>
      <c r="T249" s="132" t="str">
        <f t="shared" si="69"/>
        <v>1+2.09625711835158i</v>
      </c>
      <c r="U249" s="138">
        <f t="shared" si="70"/>
        <v>2.8571571654917811</v>
      </c>
      <c r="V249" s="132">
        <f t="shared" si="71"/>
        <v>204.57868248050249</v>
      </c>
      <c r="W249" s="132">
        <f t="shared" si="72"/>
        <v>41.875001248248644</v>
      </c>
      <c r="X249" s="138">
        <f t="shared" si="73"/>
        <v>-83.008995576828454</v>
      </c>
      <c r="Y249" s="128" t="str">
        <f t="shared" si="74"/>
        <v>15.1038911938662-123.171190452371i</v>
      </c>
      <c r="Z249" s="128" t="str">
        <f t="shared" si="75"/>
        <v>-552890.191691461i</v>
      </c>
      <c r="AA249" s="128" t="str">
        <f t="shared" si="79"/>
        <v>64900-45645.4455700722i</v>
      </c>
      <c r="AB249" s="128" t="str">
        <f t="shared" si="80"/>
        <v>5900-83683.3168784657i</v>
      </c>
      <c r="AC249" s="128" t="str">
        <f t="shared" si="81"/>
        <v>58045.8952306534-47553.3353158312i</v>
      </c>
      <c r="AD249" s="128" t="str">
        <f t="shared" si="82"/>
        <v>41375.510323389-49548.9638932773i</v>
      </c>
      <c r="AE249" s="128" t="str">
        <f t="shared" si="83"/>
        <v>-1.12408709938559-0.183121208683573i</v>
      </c>
      <c r="AF249" s="130"/>
      <c r="AG249" s="130"/>
      <c r="AH249" s="130"/>
      <c r="AI249" s="130"/>
      <c r="AJ249" s="130"/>
      <c r="AK249" s="130"/>
      <c r="AL249" s="130"/>
      <c r="AM249" s="130"/>
      <c r="AN249" s="130"/>
      <c r="AO249" s="130"/>
      <c r="AP249" s="130"/>
      <c r="AQ249" s="130"/>
      <c r="AR249" s="130"/>
      <c r="AS249" s="130"/>
    </row>
    <row r="250" spans="1:45" s="166" customFormat="1" x14ac:dyDescent="0.2">
      <c r="A250" s="132">
        <f t="shared" si="76"/>
        <v>8.1959999999999997</v>
      </c>
      <c r="B250" s="132">
        <f t="shared" si="77"/>
        <v>4.399999999999995</v>
      </c>
      <c r="C250" s="146">
        <f t="shared" si="56"/>
        <v>25118.864315095503</v>
      </c>
      <c r="D250" s="137">
        <f t="shared" si="57"/>
        <v>8.1958984498392802</v>
      </c>
      <c r="E250" s="132">
        <f t="shared" si="58"/>
        <v>59.18341369758312</v>
      </c>
      <c r="G250" s="146"/>
      <c r="H250" s="184" t="str">
        <f t="shared" si="59"/>
        <v>0.5-0.0288003291245083i</v>
      </c>
      <c r="I250" s="132" t="str">
        <f t="shared" si="60"/>
        <v>0.01-0.144001645622541i</v>
      </c>
      <c r="J250" s="132" t="str">
        <f t="shared" si="61"/>
        <v>0.0445803154518224-0.12663776383842i</v>
      </c>
      <c r="K250" s="132"/>
      <c r="L250" s="132" t="str">
        <f t="shared" si="62"/>
        <v>0.0536764380760145-0.117892507700947i</v>
      </c>
      <c r="M250" s="132" t="str">
        <f t="shared" si="63"/>
        <v>0.009+0.520827381352231i</v>
      </c>
      <c r="N250" s="132" t="str">
        <f t="shared" si="64"/>
        <v>-0.265440629140124-0.174502918037384i</v>
      </c>
      <c r="O250" s="185">
        <f t="shared" si="65"/>
        <v>-9.9606581103337941</v>
      </c>
      <c r="P250" s="185">
        <f t="shared" si="66"/>
        <v>-146.67874179425155</v>
      </c>
      <c r="Q250" s="132">
        <f t="shared" si="67"/>
        <v>157826.47919764568</v>
      </c>
      <c r="R250" s="132">
        <f t="shared" si="78"/>
        <v>4.3999999999999941</v>
      </c>
      <c r="S250" s="164">
        <f t="shared" si="68"/>
        <v>5.0862956290432226</v>
      </c>
      <c r="T250" s="132" t="str">
        <f t="shared" si="69"/>
        <v>1+2.19505067268086i</v>
      </c>
      <c r="U250" s="138">
        <f t="shared" si="70"/>
        <v>3.1096028207960584</v>
      </c>
      <c r="V250" s="132">
        <f t="shared" si="71"/>
        <v>205.86215549183467</v>
      </c>
      <c r="W250" s="132">
        <f t="shared" si="72"/>
        <v>41.480887416171662</v>
      </c>
      <c r="X250" s="138">
        <f t="shared" si="73"/>
        <v>-83.333222410560538</v>
      </c>
      <c r="Y250" s="128" t="str">
        <f t="shared" si="74"/>
        <v>13.7675694812502-117.787107165402i</v>
      </c>
      <c r="Z250" s="128" t="str">
        <f t="shared" si="75"/>
        <v>-528006.033949317i</v>
      </c>
      <c r="AA250" s="128" t="str">
        <f t="shared" si="79"/>
        <v>64900-43591.0621050639i</v>
      </c>
      <c r="AB250" s="128" t="str">
        <f t="shared" si="80"/>
        <v>5900-79916.9471926173i</v>
      </c>
      <c r="AC250" s="128" t="str">
        <f t="shared" si="81"/>
        <v>58015.7850204625-45804.0795365509i</v>
      </c>
      <c r="AD250" s="128" t="str">
        <f t="shared" si="82"/>
        <v>39242.0097865679-48790.013523232i</v>
      </c>
      <c r="AE250" s="128" t="str">
        <f t="shared" si="83"/>
        <v>-1.13457853655099-0.225647540606926i</v>
      </c>
      <c r="AF250" s="130"/>
      <c r="AG250" s="130"/>
      <c r="AH250" s="130"/>
      <c r="AI250" s="130"/>
      <c r="AJ250" s="130"/>
      <c r="AK250" s="130"/>
      <c r="AL250" s="130"/>
      <c r="AM250" s="130"/>
      <c r="AN250" s="130"/>
      <c r="AO250" s="130"/>
      <c r="AP250" s="130"/>
      <c r="AQ250" s="130"/>
      <c r="AR250" s="130"/>
      <c r="AS250" s="130"/>
    </row>
    <row r="251" spans="1:45" s="166" customFormat="1" x14ac:dyDescent="0.2">
      <c r="A251" s="132">
        <f t="shared" si="76"/>
        <v>7.5460000000000003</v>
      </c>
      <c r="B251" s="132">
        <f t="shared" si="77"/>
        <v>4.4199999999999937</v>
      </c>
      <c r="C251" s="146">
        <f t="shared" si="56"/>
        <v>26302.679918953458</v>
      </c>
      <c r="D251" s="137">
        <f t="shared" si="57"/>
        <v>7.5460627129171352</v>
      </c>
      <c r="E251" s="132">
        <f t="shared" si="58"/>
        <v>58.729031095190351</v>
      </c>
      <c r="G251" s="146"/>
      <c r="H251" s="184" t="str">
        <f t="shared" si="59"/>
        <v>0.5-0.0275041007888826i</v>
      </c>
      <c r="I251" s="132" t="str">
        <f t="shared" si="60"/>
        <v>0.01-0.137520503944413i</v>
      </c>
      <c r="J251" s="132" t="str">
        <f t="shared" si="61"/>
        <v>0.0418103880651367-0.12183441218804i</v>
      </c>
      <c r="K251" s="132"/>
      <c r="L251" s="132" t="str">
        <f t="shared" si="62"/>
        <v>0.0503537857827903-0.113927165397741i</v>
      </c>
      <c r="M251" s="132" t="str">
        <f t="shared" si="63"/>
        <v>0.009+0.545373219620512i</v>
      </c>
      <c r="N251" s="132" t="str">
        <f t="shared" si="64"/>
        <v>-0.243396880487102-0.150193312589579i</v>
      </c>
      <c r="O251" s="185">
        <f t="shared" si="65"/>
        <v>-10.872463109987667</v>
      </c>
      <c r="P251" s="185">
        <f t="shared" si="66"/>
        <v>-148.32244130585011</v>
      </c>
      <c r="Q251" s="132">
        <f t="shared" si="67"/>
        <v>165264.6120062159</v>
      </c>
      <c r="R251" s="132">
        <f t="shared" si="78"/>
        <v>4.4199999999999937</v>
      </c>
      <c r="S251" s="164">
        <f t="shared" si="68"/>
        <v>4.17449062938935</v>
      </c>
      <c r="T251" s="132" t="str">
        <f t="shared" si="69"/>
        <v>1+2.29850022378245i</v>
      </c>
      <c r="U251" s="138">
        <f t="shared" si="70"/>
        <v>3.3715720835277851</v>
      </c>
      <c r="V251" s="132">
        <f t="shared" si="71"/>
        <v>207.05147240104046</v>
      </c>
      <c r="W251" s="132">
        <f t="shared" si="72"/>
        <v>41.0862621906615</v>
      </c>
      <c r="X251" s="138">
        <f t="shared" si="73"/>
        <v>-83.643847143486767</v>
      </c>
      <c r="Y251" s="128" t="str">
        <f t="shared" si="74"/>
        <v>12.5456639975822-112.625111294727i</v>
      </c>
      <c r="Z251" s="128" t="str">
        <f t="shared" si="75"/>
        <v>-504241.847796182i</v>
      </c>
      <c r="AA251" s="128" t="str">
        <f t="shared" si="79"/>
        <v>64900-41629.1411271361i</v>
      </c>
      <c r="AB251" s="128" t="str">
        <f t="shared" si="80"/>
        <v>5900-76320.0920664164i</v>
      </c>
      <c r="AC251" s="128" t="str">
        <f t="shared" si="81"/>
        <v>57982.8057153927-44151.5353521078i</v>
      </c>
      <c r="AD251" s="128" t="str">
        <f t="shared" si="82"/>
        <v>37177.1953418539-47953.7804663017i</v>
      </c>
      <c r="AE251" s="128" t="str">
        <f t="shared" si="83"/>
        <v>-1.14607920155559-0.26840308913989i</v>
      </c>
      <c r="AF251" s="130"/>
      <c r="AG251" s="130"/>
      <c r="AH251" s="130"/>
      <c r="AI251" s="130"/>
      <c r="AJ251" s="130"/>
      <c r="AK251" s="130"/>
      <c r="AL251" s="130"/>
      <c r="AM251" s="130"/>
      <c r="AN251" s="130"/>
      <c r="AO251" s="130"/>
      <c r="AP251" s="130"/>
      <c r="AQ251" s="130"/>
      <c r="AR251" s="130"/>
      <c r="AS251" s="130"/>
    </row>
    <row r="252" spans="1:45" s="166" customFormat="1" x14ac:dyDescent="0.2">
      <c r="A252" s="132">
        <f t="shared" si="76"/>
        <v>6.9130000000000003</v>
      </c>
      <c r="B252" s="132">
        <f t="shared" si="77"/>
        <v>4.4399999999999942</v>
      </c>
      <c r="C252" s="146">
        <f t="shared" si="56"/>
        <v>27542.287033381279</v>
      </c>
      <c r="D252" s="137">
        <f t="shared" si="57"/>
        <v>6.9126218882428807</v>
      </c>
      <c r="E252" s="132">
        <f t="shared" si="58"/>
        <v>58.342820855138825</v>
      </c>
      <c r="G252" s="146"/>
      <c r="H252" s="184" t="str">
        <f t="shared" si="59"/>
        <v>0.5-0.0262662123385692i</v>
      </c>
      <c r="I252" s="132" t="str">
        <f t="shared" si="60"/>
        <v>0.01-0.131331061692846i</v>
      </c>
      <c r="J252" s="132" t="str">
        <f t="shared" si="61"/>
        <v>0.0392396456587426-0.117145356431436i</v>
      </c>
      <c r="K252" s="132"/>
      <c r="L252" s="132" t="str">
        <f t="shared" si="62"/>
        <v>0.0472439494188301-0.109998107347916i</v>
      </c>
      <c r="M252" s="132" t="str">
        <f t="shared" si="63"/>
        <v>0.009+0.571075867607072i</v>
      </c>
      <c r="N252" s="132" t="str">
        <f t="shared" si="64"/>
        <v>-0.222753834014825-0.129636495064117i</v>
      </c>
      <c r="O252" s="185">
        <f t="shared" si="65"/>
        <v>-11.776691468217917</v>
      </c>
      <c r="P252" s="185">
        <f t="shared" si="66"/>
        <v>-149.80179305620206</v>
      </c>
      <c r="Q252" s="132">
        <f t="shared" si="67"/>
        <v>173053.29321426409</v>
      </c>
      <c r="R252" s="132">
        <f t="shared" si="78"/>
        <v>4.4399999999999933</v>
      </c>
      <c r="S252" s="164">
        <f t="shared" si="68"/>
        <v>3.2702622711591012</v>
      </c>
      <c r="T252" s="132" t="str">
        <f t="shared" si="69"/>
        <v>1+2.40682520202398i</v>
      </c>
      <c r="U252" s="138">
        <f t="shared" si="70"/>
        <v>3.6423596170837795</v>
      </c>
      <c r="V252" s="132">
        <f t="shared" si="71"/>
        <v>208.14461391134088</v>
      </c>
      <c r="W252" s="132">
        <f t="shared" si="72"/>
        <v>40.6911693676441</v>
      </c>
      <c r="X252" s="138">
        <f t="shared" si="73"/>
        <v>-83.941460146182877</v>
      </c>
      <c r="Y252" s="128" t="str">
        <f t="shared" si="74"/>
        <v>11.428630105564-107.677744732464i</v>
      </c>
      <c r="Z252" s="128" t="str">
        <f t="shared" si="75"/>
        <v>-481547.226207103i</v>
      </c>
      <c r="AA252" s="128" t="str">
        <f t="shared" si="79"/>
        <v>64900-39755.521138855i</v>
      </c>
      <c r="AB252" s="128" t="str">
        <f t="shared" si="80"/>
        <v>5900-72885.122087901i</v>
      </c>
      <c r="AC252" s="128" t="str">
        <f t="shared" si="81"/>
        <v>57946.6876946443-42592.1324397611i</v>
      </c>
      <c r="AD252" s="128" t="str">
        <f t="shared" si="82"/>
        <v>35186.1198792452-47047.6167943986i</v>
      </c>
      <c r="AE252" s="128" t="str">
        <f t="shared" si="83"/>
        <v>-1.15868037014001-0.311441850528008i</v>
      </c>
      <c r="AF252" s="130"/>
      <c r="AG252" s="130"/>
      <c r="AH252" s="130"/>
      <c r="AI252" s="130"/>
      <c r="AJ252" s="130"/>
      <c r="AK252" s="130"/>
      <c r="AL252" s="130"/>
      <c r="AM252" s="130"/>
      <c r="AN252" s="130"/>
      <c r="AO252" s="130"/>
      <c r="AP252" s="130"/>
      <c r="AQ252" s="130"/>
      <c r="AR252" s="130"/>
      <c r="AS252" s="130"/>
    </row>
    <row r="253" spans="1:45" s="166" customFormat="1" x14ac:dyDescent="0.2">
      <c r="A253" s="132">
        <f t="shared" si="76"/>
        <v>6.2949999999999999</v>
      </c>
      <c r="B253" s="132">
        <f t="shared" si="77"/>
        <v>4.4599999999999929</v>
      </c>
      <c r="C253" s="146">
        <f t="shared" si="56"/>
        <v>28840.3150312656</v>
      </c>
      <c r="D253" s="137">
        <f t="shared" si="57"/>
        <v>6.2948992695461659</v>
      </c>
      <c r="E253" s="132">
        <f t="shared" si="58"/>
        <v>58.005552103228609</v>
      </c>
      <c r="G253" s="146"/>
      <c r="H253" s="184" t="str">
        <f t="shared" si="59"/>
        <v>0.5-0.0250840380461984i</v>
      </c>
      <c r="I253" s="132" t="str">
        <f t="shared" si="60"/>
        <v>0.01-0.125420190230992i</v>
      </c>
      <c r="J253" s="132" t="str">
        <f t="shared" si="61"/>
        <v>0.0368571106101978-0.112576048053026i</v>
      </c>
      <c r="K253" s="132"/>
      <c r="L253" s="132" t="str">
        <f t="shared" si="62"/>
        <v>0.0443390504463196-0.106116648011655i</v>
      </c>
      <c r="M253" s="132" t="str">
        <f t="shared" si="63"/>
        <v>0.009+0.597989844074299i</v>
      </c>
      <c r="N253" s="132" t="str">
        <f t="shared" si="64"/>
        <v>-0.2035707883215-0.112218603160005i</v>
      </c>
      <c r="O253" s="185">
        <f t="shared" si="65"/>
        <v>-12.67332232505316</v>
      </c>
      <c r="P253" s="185">
        <f t="shared" si="66"/>
        <v>-151.13420444128084</v>
      </c>
      <c r="Q253" s="132">
        <f t="shared" si="67"/>
        <v>181209.0436588786</v>
      </c>
      <c r="R253" s="132">
        <f t="shared" si="78"/>
        <v>4.4599999999999929</v>
      </c>
      <c r="S253" s="164">
        <f t="shared" si="68"/>
        <v>2.3736314143238553</v>
      </c>
      <c r="T253" s="132" t="str">
        <f t="shared" si="69"/>
        <v>1+2.52025537920768i</v>
      </c>
      <c r="U253" s="138">
        <f t="shared" si="70"/>
        <v>3.9212678552223106</v>
      </c>
      <c r="V253" s="132">
        <f t="shared" si="71"/>
        <v>209.13975654450945</v>
      </c>
      <c r="W253" s="132">
        <f t="shared" si="72"/>
        <v>40.295649076756661</v>
      </c>
      <c r="X253" s="138">
        <f t="shared" si="73"/>
        <v>-84.226632816143024</v>
      </c>
      <c r="Y253" s="128" t="str">
        <f t="shared" si="74"/>
        <v>10.4076773842813-102.937572350481i</v>
      </c>
      <c r="Z253" s="128" t="str">
        <f t="shared" si="75"/>
        <v>-459874.030846972i</v>
      </c>
      <c r="AA253" s="128" t="str">
        <f t="shared" si="79"/>
        <v>64900-37966.2279410251i</v>
      </c>
      <c r="AB253" s="128" t="str">
        <f t="shared" si="80"/>
        <v>5900-69604.751225213i</v>
      </c>
      <c r="AC253" s="128" t="str">
        <f t="shared" si="81"/>
        <v>57907.1367547835-41122.4886272432i</v>
      </c>
      <c r="AD253" s="128" t="str">
        <f t="shared" si="82"/>
        <v>33272.8809419151-46079.1374828758i</v>
      </c>
      <c r="AE253" s="128" t="str">
        <f t="shared" si="83"/>
        <v>-1.17248136099296-0.354813062203667i</v>
      </c>
      <c r="AF253" s="130"/>
      <c r="AG253" s="130"/>
      <c r="AH253" s="130"/>
      <c r="AI253" s="130"/>
      <c r="AJ253" s="130"/>
      <c r="AK253" s="130"/>
      <c r="AL253" s="130"/>
      <c r="AM253" s="130"/>
      <c r="AN253" s="130"/>
      <c r="AO253" s="130"/>
      <c r="AP253" s="130"/>
      <c r="AQ253" s="130"/>
      <c r="AR253" s="130"/>
      <c r="AS253" s="130"/>
    </row>
    <row r="254" spans="1:45" s="166" customFormat="1" x14ac:dyDescent="0.2">
      <c r="A254" s="132">
        <f t="shared" si="76"/>
        <v>5.6920000000000002</v>
      </c>
      <c r="B254" s="132">
        <f t="shared" si="77"/>
        <v>4.4799999999999933</v>
      </c>
      <c r="C254" s="146">
        <f t="shared" si="56"/>
        <v>30199.517204019674</v>
      </c>
      <c r="D254" s="137">
        <f t="shared" si="57"/>
        <v>5.6920625231324475</v>
      </c>
      <c r="E254" s="132">
        <f t="shared" si="58"/>
        <v>57.700564409891939</v>
      </c>
      <c r="G254" s="146"/>
      <c r="H254" s="184" t="str">
        <f t="shared" si="59"/>
        <v>0.5-0.0239550703615991i</v>
      </c>
      <c r="I254" s="132" t="str">
        <f t="shared" si="60"/>
        <v>0.01-0.119775351807996i</v>
      </c>
      <c r="J254" s="132" t="str">
        <f t="shared" si="61"/>
        <v>0.0346518740570323-0.108130780628292i</v>
      </c>
      <c r="K254" s="132"/>
      <c r="L254" s="132" t="str">
        <f t="shared" si="62"/>
        <v>0.0416305956135598-0.102292807627343i</v>
      </c>
      <c r="M254" s="132" t="str">
        <f t="shared" si="63"/>
        <v>0.009+0.626172237174705i</v>
      </c>
      <c r="N254" s="132" t="str">
        <f t="shared" si="64"/>
        <v>-0.185844327466517-0.0974270065321904i</v>
      </c>
      <c r="O254" s="185">
        <f t="shared" si="65"/>
        <v>-13.562499765120556</v>
      </c>
      <c r="P254" s="185">
        <f t="shared" si="66"/>
        <v>-152.33467964485325</v>
      </c>
      <c r="Q254" s="132">
        <f t="shared" si="67"/>
        <v>189749.16278021355</v>
      </c>
      <c r="R254" s="132">
        <f t="shared" si="78"/>
        <v>4.4799999999999924</v>
      </c>
      <c r="S254" s="164">
        <f t="shared" si="68"/>
        <v>1.4844539742564589</v>
      </c>
      <c r="T254" s="132" t="str">
        <f t="shared" si="69"/>
        <v>1+2.63903135594721i</v>
      </c>
      <c r="U254" s="138">
        <f t="shared" si="70"/>
        <v>4.2076085488759887</v>
      </c>
      <c r="V254" s="132">
        <f t="shared" si="71"/>
        <v>210.03524405474519</v>
      </c>
      <c r="W254" s="132">
        <f t="shared" si="72"/>
        <v>39.899738072157106</v>
      </c>
      <c r="X254" s="138">
        <f t="shared" si="73"/>
        <v>-84.499917719662818</v>
      </c>
      <c r="Y254" s="128" t="str">
        <f t="shared" si="74"/>
        <v>9.47471711553115-98.3972183562668i</v>
      </c>
      <c r="Z254" s="128" t="str">
        <f t="shared" si="75"/>
        <v>-439176.289962651i</v>
      </c>
      <c r="AA254" s="128" t="str">
        <f t="shared" si="79"/>
        <v>64900-36257.4662028789i</v>
      </c>
      <c r="AB254" s="128" t="str">
        <f t="shared" si="80"/>
        <v>5900-66472.0213719446i</v>
      </c>
      <c r="AC254" s="128" t="str">
        <f t="shared" si="81"/>
        <v>57863.8320199783-39739.4013807781i</v>
      </c>
      <c r="AD254" s="128" t="str">
        <f t="shared" si="82"/>
        <v>31440.6296984778-45056.0840521941i</v>
      </c>
      <c r="AE254" s="128" t="str">
        <f t="shared" si="83"/>
        <v>-1.18759011197339-0.398560534058439i</v>
      </c>
      <c r="AF254" s="130"/>
      <c r="AG254" s="130"/>
      <c r="AH254" s="130"/>
      <c r="AI254" s="130"/>
      <c r="AJ254" s="130"/>
      <c r="AK254" s="130"/>
      <c r="AL254" s="130"/>
      <c r="AM254" s="130"/>
      <c r="AN254" s="130"/>
      <c r="AO254" s="130"/>
      <c r="AP254" s="130"/>
      <c r="AQ254" s="130"/>
      <c r="AR254" s="130"/>
      <c r="AS254" s="130"/>
    </row>
    <row r="255" spans="1:45" s="166" customFormat="1" x14ac:dyDescent="0.2">
      <c r="A255" s="132">
        <f t="shared" si="76"/>
        <v>5.1029999999999998</v>
      </c>
      <c r="B255" s="132">
        <f t="shared" si="77"/>
        <v>4.499999999999992</v>
      </c>
      <c r="C255" s="146">
        <f t="shared" si="56"/>
        <v>31622.776601683221</v>
      </c>
      <c r="D255" s="137">
        <f t="shared" si="57"/>
        <v>5.1031827023898018</v>
      </c>
      <c r="E255" s="132">
        <f t="shared" si="58"/>
        <v>57.413421429638873</v>
      </c>
      <c r="G255" s="146"/>
      <c r="H255" s="184" t="str">
        <f t="shared" si="59"/>
        <v>0.5-0.022876914592949i</v>
      </c>
      <c r="I255" s="132" t="str">
        <f t="shared" si="60"/>
        <v>0.01-0.114384572964745i</v>
      </c>
      <c r="J255" s="132" t="str">
        <f t="shared" si="61"/>
        <v>0.0326131979938968-0.103812783446365i</v>
      </c>
      <c r="K255" s="132"/>
      <c r="L255" s="132" t="str">
        <f t="shared" si="62"/>
        <v>0.0391096516514133-0.0985353414739812i</v>
      </c>
      <c r="M255" s="132" t="str">
        <f t="shared" si="63"/>
        <v>0.009+0.655682825542531i</v>
      </c>
      <c r="N255" s="132" t="str">
        <f t="shared" si="64"/>
        <v>-0.169531318016137-0.0848352467824465i</v>
      </c>
      <c r="O255" s="185">
        <f t="shared" si="65"/>
        <v>-14.444474625969839</v>
      </c>
      <c r="P255" s="185">
        <f t="shared" si="66"/>
        <v>-153.41613728459666</v>
      </c>
      <c r="Q255" s="132">
        <f t="shared" si="67"/>
        <v>198691.76531591843</v>
      </c>
      <c r="R255" s="132">
        <f t="shared" si="78"/>
        <v>4.499999999999992</v>
      </c>
      <c r="S255" s="164">
        <f t="shared" si="68"/>
        <v>0.60247911340717819</v>
      </c>
      <c r="T255" s="132" t="str">
        <f t="shared" si="69"/>
        <v>1+2.76340507201379i</v>
      </c>
      <c r="U255" s="138">
        <f t="shared" si="70"/>
        <v>4.5007035889826232</v>
      </c>
      <c r="V255" s="132">
        <f t="shared" si="71"/>
        <v>210.82955871423553</v>
      </c>
      <c r="W255" s="132">
        <f t="shared" si="72"/>
        <v>39.503470002793236</v>
      </c>
      <c r="X255" s="138">
        <f t="shared" si="73"/>
        <v>-84.761848823217562</v>
      </c>
      <c r="Y255" s="128" t="str">
        <f t="shared" si="74"/>
        <v>8.62231219114993-94.0493967746094i</v>
      </c>
      <c r="Z255" s="128" t="str">
        <f t="shared" si="75"/>
        <v>-419410.100870733i</v>
      </c>
      <c r="AA255" s="128" t="str">
        <f t="shared" si="79"/>
        <v>64900-34625.6114116722i</v>
      </c>
      <c r="AB255" s="128" t="str">
        <f t="shared" si="80"/>
        <v>5900-63480.2875880656i</v>
      </c>
      <c r="AC255" s="128" t="str">
        <f t="shared" si="81"/>
        <v>57816.4237053665-38439.8394902737i</v>
      </c>
      <c r="AD255" s="128" t="str">
        <f t="shared" si="82"/>
        <v>29691.6003168393-43986.1976499082i</v>
      </c>
      <c r="AE255" s="128" t="str">
        <f t="shared" si="83"/>
        <v>-1.20412377437912-0.442721859777858i</v>
      </c>
      <c r="AF255" s="130"/>
      <c r="AG255" s="130"/>
      <c r="AH255" s="130"/>
      <c r="AI255" s="130"/>
      <c r="AJ255" s="130"/>
      <c r="AK255" s="130"/>
      <c r="AL255" s="130"/>
      <c r="AM255" s="130"/>
      <c r="AN255" s="130"/>
      <c r="AO255" s="130"/>
      <c r="AP255" s="130"/>
      <c r="AQ255" s="130"/>
      <c r="AR255" s="130"/>
      <c r="AS255" s="130"/>
    </row>
    <row r="256" spans="1:45" s="166" customFormat="1" x14ac:dyDescent="0.2">
      <c r="A256" s="132">
        <f t="shared" si="76"/>
        <v>4.5270000000000001</v>
      </c>
      <c r="B256" s="132">
        <f t="shared" si="77"/>
        <v>4.5199999999999916</v>
      </c>
      <c r="C256" s="146">
        <f t="shared" si="56"/>
        <v>33113.1121482585</v>
      </c>
      <c r="D256" s="137">
        <f t="shared" si="57"/>
        <v>4.5272760751961849</v>
      </c>
      <c r="E256" s="132">
        <f t="shared" si="58"/>
        <v>57.131594705666316</v>
      </c>
      <c r="G256" s="146"/>
      <c r="H256" s="184" t="str">
        <f t="shared" si="59"/>
        <v>0.5-0.021847283827312i</v>
      </c>
      <c r="I256" s="132" t="str">
        <f t="shared" si="60"/>
        <v>0.01-0.10923641913656i</v>
      </c>
      <c r="J256" s="132" t="str">
        <f t="shared" si="61"/>
        <v>0.0307305987074866-0.0996243171248607i</v>
      </c>
      <c r="K256" s="132"/>
      <c r="L256" s="132" t="str">
        <f t="shared" si="62"/>
        <v>0.036767001776916-0.0948517869977643i</v>
      </c>
      <c r="M256" s="132" t="str">
        <f t="shared" si="63"/>
        <v>0.009+0.686584205092261i</v>
      </c>
      <c r="N256" s="132" t="str">
        <f t="shared" si="64"/>
        <v>-0.154564706829812-0.0740891721467984i</v>
      </c>
      <c r="O256" s="185">
        <f t="shared" si="65"/>
        <v>-15.319562791842342</v>
      </c>
      <c r="P256" s="185">
        <f t="shared" si="66"/>
        <v>-154.38969831777311</v>
      </c>
      <c r="Q256" s="132">
        <f t="shared" si="67"/>
        <v>208055.81972492769</v>
      </c>
      <c r="R256" s="132">
        <f t="shared" si="78"/>
        <v>4.5199999999999916</v>
      </c>
      <c r="S256" s="164">
        <f t="shared" si="68"/>
        <v>-0.27260905246532569</v>
      </c>
      <c r="T256" s="132" t="str">
        <f t="shared" si="69"/>
        <v>1+2.89364034073429i</v>
      </c>
      <c r="U256" s="138">
        <f t="shared" si="70"/>
        <v>4.7998851276615104</v>
      </c>
      <c r="V256" s="132">
        <f t="shared" si="71"/>
        <v>211.52129302343943</v>
      </c>
      <c r="W256" s="132">
        <f t="shared" si="72"/>
        <v>39.106875663125052</v>
      </c>
      <c r="X256" s="138">
        <f t="shared" si="73"/>
        <v>-85.012941799842721</v>
      </c>
      <c r="Y256" s="128" t="str">
        <f t="shared" si="74"/>
        <v>7.84362956791637-89.8869367513554i</v>
      </c>
      <c r="Z256" s="128" t="str">
        <f t="shared" si="75"/>
        <v>-400533.536834053i</v>
      </c>
      <c r="AA256" s="128" t="str">
        <f t="shared" si="79"/>
        <v>64900-33067.2021846062i</v>
      </c>
      <c r="AB256" s="128" t="str">
        <f t="shared" si="80"/>
        <v>5900-60623.2040051112i</v>
      </c>
      <c r="AC256" s="128" t="str">
        <f t="shared" si="81"/>
        <v>57764.5307297529-37220.9349103901i</v>
      </c>
      <c r="AD256" s="128" t="str">
        <f t="shared" si="82"/>
        <v>28027.1566109818-42877.1044663631i</v>
      </c>
      <c r="AE256" s="128" t="str">
        <f t="shared" si="83"/>
        <v>-1.22220931886951-0.487327492302153i</v>
      </c>
      <c r="AF256" s="130"/>
      <c r="AG256" s="130"/>
      <c r="AH256" s="130"/>
      <c r="AI256" s="130"/>
      <c r="AJ256" s="130"/>
      <c r="AK256" s="130"/>
      <c r="AL256" s="130"/>
      <c r="AM256" s="130"/>
      <c r="AN256" s="130"/>
      <c r="AO256" s="130"/>
      <c r="AP256" s="130"/>
      <c r="AQ256" s="130"/>
      <c r="AR256" s="130"/>
      <c r="AS256" s="130"/>
    </row>
    <row r="257" spans="1:45" s="166" customFormat="1" x14ac:dyDescent="0.2">
      <c r="A257" s="132">
        <f t="shared" si="76"/>
        <v>3.9630000000000001</v>
      </c>
      <c r="B257" s="132">
        <f t="shared" si="77"/>
        <v>4.539999999999992</v>
      </c>
      <c r="C257" s="146">
        <f t="shared" si="56"/>
        <v>34673.685045252525</v>
      </c>
      <c r="D257" s="137">
        <f t="shared" si="57"/>
        <v>3.9633332032555471</v>
      </c>
      <c r="E257" s="132">
        <f t="shared" si="58"/>
        <v>56.844182248541728</v>
      </c>
      <c r="G257" s="146"/>
      <c r="H257" s="184" t="str">
        <f t="shared" si="59"/>
        <v>0.5-0.020863994079789i</v>
      </c>
      <c r="I257" s="132" t="str">
        <f t="shared" si="60"/>
        <v>0.01-0.104319970398945i</v>
      </c>
      <c r="J257" s="132" t="str">
        <f t="shared" si="61"/>
        <v>0.0289939132495591-0.0955667688900747i</v>
      </c>
      <c r="K257" s="132"/>
      <c r="L257" s="132" t="str">
        <f t="shared" si="62"/>
        <v>0.0345932834698619-0.0912485246425506i</v>
      </c>
      <c r="M257" s="132" t="str">
        <f t="shared" si="63"/>
        <v>0.009+0.718941921792941i</v>
      </c>
      <c r="N257" s="132" t="str">
        <f t="shared" si="64"/>
        <v>-0.140864232429367-0.0648947687992969i</v>
      </c>
      <c r="O257" s="185">
        <f t="shared" si="65"/>
        <v>-16.18811555986133</v>
      </c>
      <c r="P257" s="185">
        <f t="shared" si="66"/>
        <v>-155.264940091498</v>
      </c>
      <c r="Q257" s="132">
        <f t="shared" si="67"/>
        <v>217861.18842210321</v>
      </c>
      <c r="R257" s="132">
        <f t="shared" si="78"/>
        <v>4.5399999999999912</v>
      </c>
      <c r="S257" s="164">
        <f t="shared" si="68"/>
        <v>-1.141161820484313</v>
      </c>
      <c r="T257" s="132" t="str">
        <f t="shared" si="69"/>
        <v>1+3.03001340857461i</v>
      </c>
      <c r="U257" s="138">
        <f t="shared" si="70"/>
        <v>5.1044950237398599</v>
      </c>
      <c r="V257" s="132">
        <f t="shared" si="71"/>
        <v>212.10912234003973</v>
      </c>
      <c r="W257" s="132">
        <f t="shared" si="72"/>
        <v>38.709983225331058</v>
      </c>
      <c r="X257" s="138">
        <f t="shared" si="73"/>
        <v>-85.253694397780905</v>
      </c>
      <c r="Y257" s="128" t="str">
        <f t="shared" si="74"/>
        <v>7.13239533538588-85.9028033105541i</v>
      </c>
      <c r="Z257" s="128" t="str">
        <f t="shared" si="75"/>
        <v>-382506.558129464i</v>
      </c>
      <c r="AA257" s="128" t="str">
        <f t="shared" si="79"/>
        <v>64900-31578.9329267708i</v>
      </c>
      <c r="AB257" s="128" t="str">
        <f t="shared" si="80"/>
        <v>5900-57894.7103657466i</v>
      </c>
      <c r="AC257" s="128" t="str">
        <f t="shared" si="81"/>
        <v>57707.7381753517-36079.9747138849i</v>
      </c>
      <c r="AD257" s="128" t="str">
        <f t="shared" si="82"/>
        <v>26447.8525354409-41736.2155124832i</v>
      </c>
      <c r="AE257" s="128" t="str">
        <f t="shared" si="83"/>
        <v>-1.24198414437574-0.532399665622636i</v>
      </c>
      <c r="AF257" s="130"/>
      <c r="AG257" s="130"/>
      <c r="AH257" s="130"/>
      <c r="AI257" s="130"/>
      <c r="AJ257" s="130"/>
      <c r="AK257" s="130"/>
      <c r="AL257" s="130"/>
      <c r="AM257" s="130"/>
      <c r="AN257" s="130"/>
      <c r="AO257" s="130"/>
      <c r="AP257" s="130"/>
      <c r="AQ257" s="130"/>
      <c r="AR257" s="130"/>
      <c r="AS257" s="130"/>
    </row>
    <row r="258" spans="1:45" s="166" customFormat="1" x14ac:dyDescent="0.2">
      <c r="A258" s="132">
        <f t="shared" si="76"/>
        <v>3.41</v>
      </c>
      <c r="B258" s="132">
        <f t="shared" si="77"/>
        <v>4.5599999999999907</v>
      </c>
      <c r="C258" s="146">
        <f t="shared" si="56"/>
        <v>36307.805477009388</v>
      </c>
      <c r="D258" s="137">
        <f t="shared" si="57"/>
        <v>3.4103385914357198</v>
      </c>
      <c r="E258" s="132">
        <f t="shared" si="58"/>
        <v>56.541662095326558</v>
      </c>
      <c r="G258" s="146"/>
      <c r="H258" s="184" t="str">
        <f t="shared" si="59"/>
        <v>0.5-0.0199249596609936i</v>
      </c>
      <c r="I258" s="132" t="str">
        <f t="shared" si="60"/>
        <v>0.01-0.0996247983049682i</v>
      </c>
      <c r="J258" s="132" t="str">
        <f t="shared" si="61"/>
        <v>0.0273933507424964-0.0916407456822585i</v>
      </c>
      <c r="K258" s="132"/>
      <c r="L258" s="132" t="str">
        <f t="shared" si="62"/>
        <v>0.0325791076545224-0.0877308486198222i</v>
      </c>
      <c r="M258" s="132" t="str">
        <f t="shared" si="63"/>
        <v>0.009+0.752824610699964i</v>
      </c>
      <c r="N258" s="132" t="str">
        <f t="shared" si="64"/>
        <v>-0.128343582272397-0.0570077806172909i</v>
      </c>
      <c r="O258" s="185">
        <f t="shared" si="65"/>
        <v>-17.050498787718254</v>
      </c>
      <c r="P258" s="185">
        <f t="shared" si="66"/>
        <v>-156.05011677583676</v>
      </c>
      <c r="Q258" s="132">
        <f t="shared" si="67"/>
        <v>228128.66990907988</v>
      </c>
      <c r="R258" s="132">
        <f t="shared" si="78"/>
        <v>4.5599999999999907</v>
      </c>
      <c r="S258" s="164">
        <f t="shared" si="68"/>
        <v>-2.0035450483412371</v>
      </c>
      <c r="T258" s="132" t="str">
        <f t="shared" si="69"/>
        <v>1+3.17281354109548i</v>
      </c>
      <c r="U258" s="138">
        <f t="shared" si="70"/>
        <v>5.413883639776957</v>
      </c>
      <c r="V258" s="132">
        <f t="shared" si="71"/>
        <v>212.59177887116331</v>
      </c>
      <c r="W258" s="132">
        <f t="shared" si="72"/>
        <v>38.312818454047324</v>
      </c>
      <c r="X258" s="138">
        <f t="shared" si="73"/>
        <v>-85.484586860242231</v>
      </c>
      <c r="Y258" s="128" t="str">
        <f t="shared" si="74"/>
        <v>6.48285241300288-82.0901141344791i</v>
      </c>
      <c r="Z258" s="128" t="str">
        <f t="shared" si="75"/>
        <v>-365290.927118216i</v>
      </c>
      <c r="AA258" s="128" t="str">
        <f t="shared" si="79"/>
        <v>64900-30157.6468195343i</v>
      </c>
      <c r="AB258" s="128" t="str">
        <f t="shared" si="80"/>
        <v>5900-55289.0191691461i</v>
      </c>
      <c r="AC258" s="128" t="str">
        <f t="shared" si="81"/>
        <v>57645.5945942651-35014.3931110698i</v>
      </c>
      <c r="AD258" s="128" t="str">
        <f t="shared" si="82"/>
        <v>24953.503022533-40570.6419469879i</v>
      </c>
      <c r="AE258" s="128" t="str">
        <f t="shared" si="83"/>
        <v>-1.26359667850006-0.577951143169512i</v>
      </c>
      <c r="AF258" s="130"/>
      <c r="AG258" s="130"/>
      <c r="AH258" s="130"/>
      <c r="AI258" s="130"/>
      <c r="AJ258" s="130"/>
      <c r="AK258" s="130"/>
      <c r="AL258" s="130"/>
      <c r="AM258" s="130"/>
      <c r="AN258" s="130"/>
      <c r="AO258" s="130"/>
      <c r="AP258" s="130"/>
      <c r="AQ258" s="130"/>
      <c r="AR258" s="130"/>
      <c r="AS258" s="130"/>
    </row>
    <row r="259" spans="1:45" s="166" customFormat="1" x14ac:dyDescent="0.2">
      <c r="A259" s="132">
        <f t="shared" si="76"/>
        <v>2.867</v>
      </c>
      <c r="B259" s="132">
        <f t="shared" si="77"/>
        <v>4.5799999999999912</v>
      </c>
      <c r="C259" s="146">
        <f t="shared" si="56"/>
        <v>38018.939632055335</v>
      </c>
      <c r="D259" s="137">
        <f t="shared" si="57"/>
        <v>2.8672833601081464</v>
      </c>
      <c r="E259" s="132">
        <f t="shared" si="58"/>
        <v>56.215678840421646</v>
      </c>
      <c r="G259" s="146"/>
      <c r="H259" s="184" t="str">
        <f t="shared" si="59"/>
        <v>0.5-0.0190281887530251i</v>
      </c>
      <c r="I259" s="132" t="str">
        <f t="shared" si="60"/>
        <v>0.01-0.0951409437651256i</v>
      </c>
      <c r="J259" s="132" t="str">
        <f t="shared" si="61"/>
        <v>0.0259195303263456-0.0878461636812867i</v>
      </c>
      <c r="K259" s="132"/>
      <c r="L259" s="132" t="str">
        <f t="shared" si="62"/>
        <v>0.0307151599359154-0.0843030443047667i</v>
      </c>
      <c r="M259" s="132" t="str">
        <f t="shared" si="63"/>
        <v>0.009+0.788304141539236i</v>
      </c>
      <c r="N259" s="132" t="str">
        <f t="shared" si="64"/>
        <v>-0.116915087730055-0.050225008857138i</v>
      </c>
      <c r="O259" s="185">
        <f t="shared" si="65"/>
        <v>-17.907078396186105</v>
      </c>
      <c r="P259" s="185">
        <f t="shared" si="66"/>
        <v>-156.75234859706057</v>
      </c>
      <c r="Q259" s="132">
        <f t="shared" si="67"/>
        <v>238880.04289067775</v>
      </c>
      <c r="R259" s="132">
        <f t="shared" si="78"/>
        <v>4.5799999999999903</v>
      </c>
      <c r="S259" s="164">
        <f t="shared" si="68"/>
        <v>-2.860124656809087</v>
      </c>
      <c r="T259" s="132" t="str">
        <f t="shared" si="69"/>
        <v>1+3.32234363652355i</v>
      </c>
      <c r="U259" s="138">
        <f t="shared" si="70"/>
        <v>5.7274080169172334</v>
      </c>
      <c r="V259" s="132">
        <f t="shared" si="71"/>
        <v>212.96802743748222</v>
      </c>
      <c r="W259" s="132">
        <f t="shared" si="72"/>
        <v>37.915404904682859</v>
      </c>
      <c r="X259" s="138">
        <f t="shared" si="73"/>
        <v>-85.706082386555991</v>
      </c>
      <c r="Y259" s="128" t="str">
        <f t="shared" si="74"/>
        <v>5.88972085415543-78.4421528778435i</v>
      </c>
      <c r="Z259" s="128" t="str">
        <f t="shared" si="75"/>
        <v>-348850.127138794i</v>
      </c>
      <c r="AA259" s="128" t="str">
        <f t="shared" si="79"/>
        <v>64900-28800.3291245082i</v>
      </c>
      <c r="AB259" s="128" t="str">
        <f t="shared" si="80"/>
        <v>5900-52800.6033949317i</v>
      </c>
      <c r="AC259" s="128" t="str">
        <f t="shared" si="81"/>
        <v>57577.6091639141-34021.763486372i</v>
      </c>
      <c r="AD259" s="128" t="str">
        <f t="shared" si="82"/>
        <v>23543.2617635894-39387.1263713559i</v>
      </c>
      <c r="AE259" s="128" t="str">
        <f t="shared" si="83"/>
        <v>-1.28720695439643-0.623983771031194i</v>
      </c>
      <c r="AF259" s="130"/>
      <c r="AG259" s="130"/>
      <c r="AH259" s="130"/>
      <c r="AI259" s="130"/>
      <c r="AJ259" s="130"/>
      <c r="AK259" s="130"/>
      <c r="AL259" s="130"/>
      <c r="AM259" s="130"/>
      <c r="AN259" s="130"/>
      <c r="AO259" s="130"/>
      <c r="AP259" s="130"/>
      <c r="AQ259" s="130"/>
      <c r="AR259" s="130"/>
      <c r="AS259" s="130"/>
    </row>
    <row r="260" spans="1:45" s="166" customFormat="1" x14ac:dyDescent="0.2">
      <c r="A260" s="132">
        <f t="shared" si="76"/>
        <v>2.3330000000000002</v>
      </c>
      <c r="B260" s="132">
        <f t="shared" si="77"/>
        <v>4.5999999999999899</v>
      </c>
      <c r="C260" s="146">
        <f t="shared" si="56"/>
        <v>39810.717055348825</v>
      </c>
      <c r="D260" s="137">
        <f t="shared" si="57"/>
        <v>2.3331727414310377</v>
      </c>
      <c r="E260" s="132">
        <f t="shared" si="58"/>
        <v>55.858860185912505</v>
      </c>
      <c r="G260" s="146"/>
      <c r="H260" s="184" t="str">
        <f t="shared" si="59"/>
        <v>0.5-0.0181717791845555i</v>
      </c>
      <c r="I260" s="132" t="str">
        <f t="shared" si="60"/>
        <v>0.01-0.0908588959227771i</v>
      </c>
      <c r="J260" s="132" t="str">
        <f t="shared" si="61"/>
        <v>0.0245635075104255-0.0841823332281733i</v>
      </c>
      <c r="K260" s="132"/>
      <c r="L260" s="132" t="str">
        <f t="shared" si="62"/>
        <v>0.0289922849202629-0.0809684694176512i</v>
      </c>
      <c r="M260" s="132" t="str">
        <f t="shared" si="63"/>
        <v>0.009+0.82545577115249i</v>
      </c>
      <c r="N260" s="132" t="str">
        <f t="shared" si="64"/>
        <v>-0.106492725709825-0.0443770992740627i</v>
      </c>
      <c r="O260" s="185">
        <f t="shared" si="65"/>
        <v>-18.758210449693212</v>
      </c>
      <c r="P260" s="185">
        <f t="shared" si="66"/>
        <v>-157.37778321213042</v>
      </c>
      <c r="Q260" s="132">
        <f t="shared" si="67"/>
        <v>250138.11247045151</v>
      </c>
      <c r="R260" s="132">
        <f t="shared" si="78"/>
        <v>4.5999999999999899</v>
      </c>
      <c r="S260" s="164">
        <f t="shared" si="68"/>
        <v>-3.7112567103161966</v>
      </c>
      <c r="T260" s="132" t="str">
        <f t="shared" si="69"/>
        <v>1+3.47892086823904i</v>
      </c>
      <c r="U260" s="138">
        <f t="shared" si="70"/>
        <v>6.0444294517472343</v>
      </c>
      <c r="V260" s="132">
        <f t="shared" si="71"/>
        <v>213.23664339804293</v>
      </c>
      <c r="W260" s="132">
        <f t="shared" si="72"/>
        <v>37.517764106343229</v>
      </c>
      <c r="X260" s="138">
        <f t="shared" si="73"/>
        <v>-85.918627626270307</v>
      </c>
      <c r="Y260" s="128" t="str">
        <f t="shared" si="74"/>
        <v>5.34816070486687-74.9523794734635i</v>
      </c>
      <c r="Z260" s="128" t="str">
        <f t="shared" si="75"/>
        <v>-333149.285050183i</v>
      </c>
      <c r="AA260" s="128" t="str">
        <f t="shared" si="79"/>
        <v>64900-27504.1007888826i</v>
      </c>
      <c r="AB260" s="128" t="str">
        <f t="shared" si="80"/>
        <v>5900-50424.1847796182i</v>
      </c>
      <c r="AC260" s="128" t="str">
        <f t="shared" si="81"/>
        <v>57503.248696825-33099.7903999393i</v>
      </c>
      <c r="AD260" s="128" t="str">
        <f t="shared" si="82"/>
        <v>22215.7027884391-38191.9898476675i</v>
      </c>
      <c r="AE260" s="128" t="str">
        <f t="shared" si="83"/>
        <v>-1.31298714480184-0.670486812230604i</v>
      </c>
      <c r="AF260" s="130"/>
      <c r="AG260" s="130"/>
      <c r="AH260" s="130"/>
      <c r="AI260" s="130"/>
      <c r="AJ260" s="130"/>
      <c r="AK260" s="130"/>
      <c r="AL260" s="130"/>
      <c r="AM260" s="130"/>
      <c r="AN260" s="130"/>
      <c r="AO260" s="130"/>
      <c r="AP260" s="130"/>
      <c r="AQ260" s="130"/>
      <c r="AR260" s="130"/>
      <c r="AS260" s="130"/>
    </row>
    <row r="261" spans="1:45" s="166" customFormat="1" x14ac:dyDescent="0.2">
      <c r="A261" s="132">
        <f t="shared" si="76"/>
        <v>1.8069999999999999</v>
      </c>
      <c r="B261" s="132">
        <f t="shared" si="77"/>
        <v>4.6199999999999903</v>
      </c>
      <c r="C261" s="146">
        <f t="shared" si="56"/>
        <v>41686.938347032592</v>
      </c>
      <c r="D261" s="137">
        <f t="shared" si="57"/>
        <v>1.8070297162069631</v>
      </c>
      <c r="E261" s="132">
        <f t="shared" si="58"/>
        <v>55.464660330223182</v>
      </c>
      <c r="G261" s="146"/>
      <c r="H261" s="184" t="str">
        <f t="shared" si="59"/>
        <v>0.5-0.0173539143960691i</v>
      </c>
      <c r="I261" s="132" t="str">
        <f t="shared" si="60"/>
        <v>0.01-0.0867695719803454i</v>
      </c>
      <c r="J261" s="132" t="str">
        <f t="shared" si="61"/>
        <v>0.0233167906032706-0.0806480384419844i</v>
      </c>
      <c r="K261" s="132"/>
      <c r="L261" s="132" t="str">
        <f t="shared" si="62"/>
        <v>0.0274015549087405-0.0777296366176904i</v>
      </c>
      <c r="M261" s="132" t="str">
        <f t="shared" si="63"/>
        <v>0.009+0.864358303127142i</v>
      </c>
      <c r="N261" s="132" t="str">
        <f t="shared" si="64"/>
        <v>-0.096993964252677-0.0393226020627473i</v>
      </c>
      <c r="O261" s="185">
        <f t="shared" si="65"/>
        <v>-19.604234519711067</v>
      </c>
      <c r="P261" s="185">
        <f t="shared" si="66"/>
        <v>-157.93173279313524</v>
      </c>
      <c r="Q261" s="132">
        <f t="shared" si="67"/>
        <v>261926.75852337645</v>
      </c>
      <c r="R261" s="132">
        <f t="shared" si="78"/>
        <v>4.6199999999999894</v>
      </c>
      <c r="S261" s="164">
        <f t="shared" si="68"/>
        <v>-4.5572807803340503</v>
      </c>
      <c r="T261" s="132" t="str">
        <f t="shared" si="69"/>
        <v>1+3.64287735754312i</v>
      </c>
      <c r="U261" s="138">
        <f t="shared" si="70"/>
        <v>6.3643104965410133</v>
      </c>
      <c r="V261" s="132">
        <f t="shared" si="71"/>
        <v>213.39639312335842</v>
      </c>
      <c r="W261" s="132">
        <f t="shared" si="72"/>
        <v>37.119915730364909</v>
      </c>
      <c r="X261" s="138">
        <f t="shared" si="73"/>
        <v>-86.122653198900338</v>
      </c>
      <c r="Y261" s="128" t="str">
        <f t="shared" si="74"/>
        <v>4.85373734210264-71.6144378366735i</v>
      </c>
      <c r="Z261" s="128" t="str">
        <f t="shared" si="75"/>
        <v>-318155.097261267i</v>
      </c>
      <c r="AA261" s="128" t="str">
        <f t="shared" si="79"/>
        <v>64900-26266.2123385692i</v>
      </c>
      <c r="AB261" s="128" t="str">
        <f t="shared" si="80"/>
        <v>5900-48154.7226207103i</v>
      </c>
      <c r="AC261" s="128" t="str">
        <f t="shared" si="81"/>
        <v>57421.9345141168-32246.3014989672i</v>
      </c>
      <c r="AD261" s="128" t="str">
        <f t="shared" si="82"/>
        <v>20968.9030552704-36991.0938566956i</v>
      </c>
      <c r="AE261" s="128" t="str">
        <f t="shared" si="83"/>
        <v>-1.34112202858673-0.717435036361535i</v>
      </c>
      <c r="AF261" s="130"/>
      <c r="AG261" s="130"/>
      <c r="AH261" s="130"/>
      <c r="AI261" s="130"/>
      <c r="AJ261" s="130"/>
      <c r="AK261" s="130"/>
      <c r="AL261" s="130"/>
      <c r="AM261" s="130"/>
      <c r="AN261" s="130"/>
      <c r="AO261" s="130"/>
      <c r="AP261" s="130"/>
      <c r="AQ261" s="130"/>
      <c r="AR261" s="130"/>
      <c r="AS261" s="130"/>
    </row>
    <row r="262" spans="1:45" s="166" customFormat="1" x14ac:dyDescent="0.2">
      <c r="A262" s="132">
        <f t="shared" si="76"/>
        <v>1.288</v>
      </c>
      <c r="B262" s="132">
        <f t="shared" si="77"/>
        <v>4.639999999999989</v>
      </c>
      <c r="C262" s="146">
        <f t="shared" si="56"/>
        <v>43651.583224015514</v>
      </c>
      <c r="D262" s="137">
        <f t="shared" si="57"/>
        <v>1.2878957517586729</v>
      </c>
      <c r="E262" s="132">
        <f t="shared" si="58"/>
        <v>55.027227168575251</v>
      </c>
      <c r="G262" s="146"/>
      <c r="H262" s="184" t="str">
        <f t="shared" si="59"/>
        <v>0.5-0.0165728595866967i</v>
      </c>
      <c r="I262" s="132" t="str">
        <f t="shared" si="60"/>
        <v>0.01-0.0828642979334835i</v>
      </c>
      <c r="J262" s="132" t="str">
        <f t="shared" si="61"/>
        <v>0.022171348776158-0.077241611101802i</v>
      </c>
      <c r="K262" s="132"/>
      <c r="L262" s="132" t="str">
        <f t="shared" si="62"/>
        <v>0.025934324410656-0.074588295581203i</v>
      </c>
      <c r="M262" s="132" t="str">
        <f t="shared" si="63"/>
        <v>0.009+0.905094254949262i</v>
      </c>
      <c r="N262" s="132" t="str">
        <f t="shared" si="64"/>
        <v>-0.0883408255146989-0.0349430984095209i</v>
      </c>
      <c r="O262" s="185">
        <f t="shared" si="65"/>
        <v>-20.445469389219003</v>
      </c>
      <c r="P262" s="185">
        <f t="shared" si="66"/>
        <v>-158.41879025453525</v>
      </c>
      <c r="Q262" s="132">
        <f t="shared" si="67"/>
        <v>274270.98634826118</v>
      </c>
      <c r="R262" s="132">
        <f t="shared" si="78"/>
        <v>4.639999999999989</v>
      </c>
      <c r="S262" s="164">
        <f t="shared" si="68"/>
        <v>-5.3985156498419871</v>
      </c>
      <c r="T262" s="132" t="str">
        <f t="shared" si="69"/>
        <v>1+3.81456087813162i</v>
      </c>
      <c r="U262" s="138">
        <f t="shared" si="70"/>
        <v>6.6864114016006599</v>
      </c>
      <c r="V262" s="132">
        <f t="shared" si="71"/>
        <v>213.4460174231105</v>
      </c>
      <c r="W262" s="132">
        <f t="shared" si="72"/>
        <v>36.721877745432216</v>
      </c>
      <c r="X262" s="138">
        <f t="shared" si="73"/>
        <v>-86.318574233042426</v>
      </c>
      <c r="Y262" s="128" t="str">
        <f t="shared" si="74"/>
        <v>4.40238919998065-68.4221613300967i</v>
      </c>
      <c r="Z262" s="128" t="str">
        <f t="shared" si="75"/>
        <v>-303835.75908944i</v>
      </c>
      <c r="AA262" s="128" t="str">
        <f t="shared" si="79"/>
        <v>64900-25084.0380461984i</v>
      </c>
      <c r="AB262" s="128" t="str">
        <f t="shared" si="80"/>
        <v>5900-45987.4030846972i</v>
      </c>
      <c r="AC262" s="128" t="str">
        <f t="shared" si="81"/>
        <v>57333.0391968757-31459.2392800503i</v>
      </c>
      <c r="AD262" s="128" t="str">
        <f t="shared" si="82"/>
        <v>19800.5236849647-35789.816008008i</v>
      </c>
      <c r="AE262" s="128" t="str">
        <f t="shared" si="83"/>
        <v>-1.37180935873149-0.764786537193534i</v>
      </c>
      <c r="AF262" s="130"/>
      <c r="AG262" s="130"/>
      <c r="AH262" s="130"/>
      <c r="AI262" s="130"/>
      <c r="AJ262" s="130"/>
      <c r="AK262" s="130"/>
      <c r="AL262" s="130"/>
      <c r="AM262" s="130"/>
      <c r="AN262" s="130"/>
      <c r="AO262" s="130"/>
      <c r="AP262" s="130"/>
      <c r="AQ262" s="130"/>
      <c r="AR262" s="130"/>
      <c r="AS262" s="130"/>
    </row>
    <row r="263" spans="1:45" s="166" customFormat="1" x14ac:dyDescent="0.2">
      <c r="A263" s="132">
        <f t="shared" si="76"/>
        <v>0.77500000000000002</v>
      </c>
      <c r="B263" s="132">
        <f t="shared" si="77"/>
        <v>4.6599999999999895</v>
      </c>
      <c r="C263" s="146">
        <f t="shared" si="56"/>
        <v>45708.818961486359</v>
      </c>
      <c r="D263" s="137">
        <f t="shared" si="57"/>
        <v>0.7748293414164138</v>
      </c>
      <c r="E263" s="132">
        <f t="shared" si="58"/>
        <v>54.541290625267266</v>
      </c>
      <c r="G263" s="146"/>
      <c r="H263" s="184" t="str">
        <f t="shared" si="59"/>
        <v>0.5-0.0158269580344697i</v>
      </c>
      <c r="I263" s="132" t="str">
        <f t="shared" si="60"/>
        <v>0.01-0.0791347901723481i</v>
      </c>
      <c r="J263" s="132" t="str">
        <f t="shared" si="61"/>
        <v>0.0211196131793745-0.0739609985834385i</v>
      </c>
      <c r="K263" s="132"/>
      <c r="L263" s="132" t="str">
        <f t="shared" si="62"/>
        <v>0.0245822719954813-0.0715455130442049i</v>
      </c>
      <c r="M263" s="132" t="str">
        <f t="shared" si="63"/>
        <v>0.009+0.947750033034231i</v>
      </c>
      <c r="N263" s="132" t="str">
        <f t="shared" si="64"/>
        <v>-0.080460424526988-0.0311392092078332i</v>
      </c>
      <c r="O263" s="185">
        <f t="shared" si="65"/>
        <v>-21.282210414640442</v>
      </c>
      <c r="P263" s="185">
        <f t="shared" si="66"/>
        <v>-158.84292774945209</v>
      </c>
      <c r="Q263" s="132">
        <f t="shared" si="67"/>
        <v>287196.97970734275</v>
      </c>
      <c r="R263" s="132">
        <f t="shared" si="78"/>
        <v>4.6599999999999886</v>
      </c>
      <c r="S263" s="164">
        <f t="shared" si="68"/>
        <v>-6.2352566752634218</v>
      </c>
      <c r="T263" s="132" t="str">
        <f t="shared" si="69"/>
        <v>1+3.99433559376972i</v>
      </c>
      <c r="U263" s="138">
        <f t="shared" si="70"/>
        <v>7.0100860166798356</v>
      </c>
      <c r="V263" s="132">
        <f t="shared" si="71"/>
        <v>213.38421837471935</v>
      </c>
      <c r="W263" s="132">
        <f t="shared" si="72"/>
        <v>36.323666560206256</v>
      </c>
      <c r="X263" s="138">
        <f t="shared" si="73"/>
        <v>-86.506790919474355</v>
      </c>
      <c r="Y263" s="128" t="str">
        <f t="shared" si="74"/>
        <v>3.99039778041935-65.36957630872i</v>
      </c>
      <c r="Z263" s="128" t="str">
        <f t="shared" si="75"/>
        <v>-290160.897298611i</v>
      </c>
      <c r="AA263" s="128" t="str">
        <f t="shared" si="79"/>
        <v>64900-23955.0703615991i</v>
      </c>
      <c r="AB263" s="128" t="str">
        <f t="shared" si="80"/>
        <v>5900-43917.6289962651i</v>
      </c>
      <c r="AC263" s="128" t="str">
        <f t="shared" si="81"/>
        <v>57235.8832354868-30736.6526404477i</v>
      </c>
      <c r="AD263" s="128" t="str">
        <f t="shared" si="82"/>
        <v>18707.8879236413-34593.0380367125i</v>
      </c>
      <c r="AE263" s="128" t="str">
        <f t="shared" si="83"/>
        <v>-1.40526009280116-0.81248024957536i</v>
      </c>
      <c r="AF263" s="130"/>
      <c r="AG263" s="130"/>
      <c r="AH263" s="130"/>
      <c r="AI263" s="130"/>
      <c r="AJ263" s="130"/>
      <c r="AK263" s="130"/>
      <c r="AL263" s="130"/>
      <c r="AM263" s="130"/>
      <c r="AN263" s="130"/>
      <c r="AO263" s="130"/>
      <c r="AP263" s="130"/>
      <c r="AQ263" s="130"/>
      <c r="AR263" s="130"/>
      <c r="AS263" s="130"/>
    </row>
    <row r="264" spans="1:45" s="166" customFormat="1" x14ac:dyDescent="0.2">
      <c r="A264" s="132">
        <f t="shared" si="76"/>
        <v>0.26700000000000002</v>
      </c>
      <c r="B264" s="132">
        <f t="shared" si="77"/>
        <v>4.6799999999999882</v>
      </c>
      <c r="C264" s="146">
        <f t="shared" si="56"/>
        <v>47863.009232262542</v>
      </c>
      <c r="D264" s="137">
        <f t="shared" si="57"/>
        <v>0.26690285846509543</v>
      </c>
      <c r="E264" s="132">
        <f t="shared" si="58"/>
        <v>54.002069868148851</v>
      </c>
      <c r="G264" s="146"/>
      <c r="H264" s="184" t="str">
        <f t="shared" si="59"/>
        <v>0.5-0.015114627582191i</v>
      </c>
      <c r="I264" s="132" t="str">
        <f t="shared" si="60"/>
        <v>0.01-0.0755731379109549i</v>
      </c>
      <c r="J264" s="132" t="str">
        <f t="shared" si="61"/>
        <v>0.0201544723859517-0.0708038258155375i</v>
      </c>
      <c r="K264" s="132"/>
      <c r="L264" s="132" t="str">
        <f t="shared" si="62"/>
        <v>0.0233374310105123-0.0686017496542569i</v>
      </c>
      <c r="M264" s="132" t="str">
        <f t="shared" si="63"/>
        <v>0.009+0.992416116006325i</v>
      </c>
      <c r="N264" s="132" t="str">
        <f t="shared" si="64"/>
        <v>-0.0732851618663834-0.0278273274510472i</v>
      </c>
      <c r="O264" s="185">
        <f t="shared" si="65"/>
        <v>-22.114728049575213</v>
      </c>
      <c r="P264" s="185">
        <f t="shared" si="66"/>
        <v>-159.20758019232852</v>
      </c>
      <c r="Q264" s="132">
        <f t="shared" si="67"/>
        <v>300732.15636555292</v>
      </c>
      <c r="R264" s="132">
        <f t="shared" si="78"/>
        <v>4.6799999999999882</v>
      </c>
      <c r="S264" s="164">
        <f t="shared" si="68"/>
        <v>-7.0677743101981951</v>
      </c>
      <c r="T264" s="132" t="str">
        <f t="shared" si="69"/>
        <v>1+4.18258283073211i</v>
      </c>
      <c r="U264" s="138">
        <f t="shared" si="70"/>
        <v>7.3346771686632906</v>
      </c>
      <c r="V264" s="132">
        <f t="shared" si="71"/>
        <v>213.20965006047737</v>
      </c>
      <c r="W264" s="132">
        <f t="shared" si="72"/>
        <v>35.925297154353956</v>
      </c>
      <c r="X264" s="138">
        <f t="shared" si="73"/>
        <v>-86.687689073659485</v>
      </c>
      <c r="Y264" s="128" t="str">
        <f t="shared" si="74"/>
        <v>3.61435983703844-62.4509040275484i</v>
      </c>
      <c r="Z264" s="128" t="str">
        <f t="shared" si="75"/>
        <v>-277101.5056735i</v>
      </c>
      <c r="AA264" s="128" t="str">
        <f t="shared" si="79"/>
        <v>64900-22876.914592949i</v>
      </c>
      <c r="AB264" s="128" t="str">
        <f t="shared" si="80"/>
        <v>5900-41941.0100870733i</v>
      </c>
      <c r="AC264" s="128" t="str">
        <f t="shared" si="81"/>
        <v>57129.7316040414-30076.6881528189i</v>
      </c>
      <c r="AD264" s="128" t="str">
        <f t="shared" si="82"/>
        <v>17688.0543642161-33405.1444613268i</v>
      </c>
      <c r="AE264" s="128" t="str">
        <f t="shared" si="83"/>
        <v>-1.44169843755325-0.860433136367938i</v>
      </c>
      <c r="AF264" s="130"/>
      <c r="AG264" s="130"/>
      <c r="AH264" s="130"/>
      <c r="AI264" s="130"/>
      <c r="AJ264" s="130"/>
      <c r="AK264" s="130"/>
      <c r="AL264" s="130"/>
      <c r="AM264" s="130"/>
      <c r="AN264" s="130"/>
      <c r="AO264" s="130"/>
      <c r="AP264" s="130"/>
      <c r="AQ264" s="130"/>
      <c r="AR264" s="130"/>
      <c r="AS264" s="130"/>
    </row>
    <row r="265" spans="1:45" s="166" customFormat="1" x14ac:dyDescent="0.2">
      <c r="A265" s="132">
        <f t="shared" si="76"/>
        <v>0.23699999999999999</v>
      </c>
      <c r="B265" s="132">
        <f t="shared" si="77"/>
        <v>4.6999999999999886</v>
      </c>
      <c r="C265" s="146">
        <f t="shared" si="56"/>
        <v>50118.723362725868</v>
      </c>
      <c r="D265" s="137">
        <f t="shared" si="57"/>
        <v>-0.23680189609131297</v>
      </c>
      <c r="E265" s="132">
        <f t="shared" si="58"/>
        <v>53.405197610915138</v>
      </c>
      <c r="G265" s="146"/>
      <c r="H265" s="184" t="str">
        <f t="shared" si="59"/>
        <v>0.5-0.0144343572814675i</v>
      </c>
      <c r="I265" s="132" t="str">
        <f t="shared" si="60"/>
        <v>0.01-0.0721717864073373i</v>
      </c>
      <c r="J265" s="132" t="str">
        <f t="shared" si="61"/>
        <v>0.0192692632918248-0.0677674513550081i</v>
      </c>
      <c r="K265" s="132"/>
      <c r="L265" s="132" t="str">
        <f t="shared" si="62"/>
        <v>0.0221922106485099-0.0657569327938972i</v>
      </c>
      <c r="M265" s="132" t="str">
        <f t="shared" si="63"/>
        <v>0.009+1.03918724661602i</v>
      </c>
      <c r="N265" s="132" t="str">
        <f t="shared" si="64"/>
        <v>-0.0667526925574923-0.024936941403444i</v>
      </c>
      <c r="O265" s="185">
        <f t="shared" si="65"/>
        <v>-22.943267171303233</v>
      </c>
      <c r="P265" s="185">
        <f t="shared" si="66"/>
        <v>-159.51571619236915</v>
      </c>
      <c r="Q265" s="132">
        <f t="shared" si="67"/>
        <v>314905.22624727746</v>
      </c>
      <c r="R265" s="132">
        <f t="shared" si="78"/>
        <v>4.6999999999999877</v>
      </c>
      <c r="S265" s="164">
        <f t="shared" si="68"/>
        <v>-7.8963134319262149</v>
      </c>
      <c r="T265" s="132" t="str">
        <f t="shared" si="69"/>
        <v>1+4.37970188664714i</v>
      </c>
      <c r="U265" s="138">
        <f t="shared" si="70"/>
        <v>7.659511535834902</v>
      </c>
      <c r="V265" s="132">
        <f t="shared" si="71"/>
        <v>212.92091380328429</v>
      </c>
      <c r="W265" s="132">
        <f t="shared" si="72"/>
        <v>35.526783198819103</v>
      </c>
      <c r="X265" s="138">
        <f t="shared" si="73"/>
        <v>-86.86164070377599</v>
      </c>
      <c r="Y265" s="128" t="str">
        <f t="shared" si="74"/>
        <v>3.27116161665167-59.6605611601376i</v>
      </c>
      <c r="Z265" s="128" t="str">
        <f t="shared" si="75"/>
        <v>-264629.88349357i</v>
      </c>
      <c r="AA265" s="128" t="str">
        <f t="shared" si="79"/>
        <v>64900-21847.283827312i</v>
      </c>
      <c r="AB265" s="128" t="str">
        <f t="shared" si="80"/>
        <v>5900-40053.3536834053i</v>
      </c>
      <c r="AC265" s="128" t="str">
        <f t="shared" si="81"/>
        <v>57013.7902953405-29477.5809949013i</v>
      </c>
      <c r="AD265" s="128" t="str">
        <f t="shared" si="82"/>
        <v>16737.8843790769-32230.0302176658i</v>
      </c>
      <c r="AE265" s="128" t="str">
        <f t="shared" si="83"/>
        <v>-1.48136164802513-0.908537016575973i</v>
      </c>
      <c r="AF265" s="130"/>
      <c r="AG265" s="130"/>
      <c r="AH265" s="130"/>
      <c r="AI265" s="130"/>
      <c r="AJ265" s="130"/>
      <c r="AK265" s="130"/>
      <c r="AL265" s="130"/>
      <c r="AM265" s="130"/>
      <c r="AN265" s="130"/>
      <c r="AO265" s="130"/>
      <c r="AP265" s="130"/>
      <c r="AQ265" s="130"/>
      <c r="AR265" s="130"/>
      <c r="AS265" s="130"/>
    </row>
    <row r="266" spans="1:45" s="166" customFormat="1" x14ac:dyDescent="0.2">
      <c r="A266" s="132">
        <f t="shared" si="76"/>
        <v>0.73699999999999999</v>
      </c>
      <c r="B266" s="132">
        <f t="shared" si="77"/>
        <v>4.7199999999999882</v>
      </c>
      <c r="C266" s="146">
        <f t="shared" si="56"/>
        <v>52480.746024975822</v>
      </c>
      <c r="D266" s="137">
        <f t="shared" si="57"/>
        <v>-0.73719916456687162</v>
      </c>
      <c r="E266" s="132">
        <f t="shared" si="58"/>
        <v>52.746660158136507</v>
      </c>
      <c r="G266" s="146"/>
      <c r="H266" s="184" t="str">
        <f t="shared" si="59"/>
        <v>0.5-0.0137847041877859i</v>
      </c>
      <c r="I266" s="132" t="str">
        <f t="shared" si="60"/>
        <v>0.01-0.0689235209389296i</v>
      </c>
      <c r="J266" s="132" t="str">
        <f t="shared" si="61"/>
        <v>0.0184577584594532-0.0648490177830269i</v>
      </c>
      <c r="K266" s="132"/>
      <c r="L266" s="132" t="str">
        <f t="shared" si="62"/>
        <v>0.0211394087716012-0.0630105248081212i</v>
      </c>
      <c r="M266" s="132" t="str">
        <f t="shared" si="63"/>
        <v>0.009+1.08816263270204i</v>
      </c>
      <c r="N266" s="132" t="str">
        <f t="shared" si="64"/>
        <v>-0.0608057548057226-0.022408438800902i</v>
      </c>
      <c r="O266" s="185">
        <f t="shared" si="65"/>
        <v>-23.768046950388957</v>
      </c>
      <c r="P266" s="185">
        <f t="shared" si="66"/>
        <v>-159.76989843436562</v>
      </c>
      <c r="Q266" s="132">
        <f t="shared" si="67"/>
        <v>329746.25233395159</v>
      </c>
      <c r="R266" s="132">
        <f t="shared" si="78"/>
        <v>4.7199999999999873</v>
      </c>
      <c r="S266" s="164">
        <f t="shared" si="68"/>
        <v>-8.7210932110119384</v>
      </c>
      <c r="T266" s="132" t="str">
        <f t="shared" si="69"/>
        <v>1+4.5861108774606i</v>
      </c>
      <c r="U266" s="138">
        <f t="shared" si="70"/>
        <v>7.9838940464450667</v>
      </c>
      <c r="V266" s="132">
        <f t="shared" si="71"/>
        <v>212.51655859250212</v>
      </c>
      <c r="W266" s="132">
        <f t="shared" si="72"/>
        <v>35.128137166128916</v>
      </c>
      <c r="X266" s="138">
        <f t="shared" si="73"/>
        <v>-87.02900458101179</v>
      </c>
      <c r="Y266" s="128" t="str">
        <f t="shared" si="74"/>
        <v>2.95795504080754-56.9931591458073i</v>
      </c>
      <c r="Z266" s="128" t="str">
        <f t="shared" si="75"/>
        <v>-252719.576776076i</v>
      </c>
      <c r="AA266" s="128" t="str">
        <f t="shared" si="79"/>
        <v>64900-20863.994079789i</v>
      </c>
      <c r="AB266" s="128" t="str">
        <f t="shared" si="80"/>
        <v>5900-38250.6558129464i</v>
      </c>
      <c r="AC266" s="128" t="str">
        <f t="shared" si="81"/>
        <v>56887.2028619278-28937.6454629673i</v>
      </c>
      <c r="AD266" s="128" t="str">
        <f t="shared" si="82"/>
        <v>15854.1030954039-31071.1156056845i</v>
      </c>
      <c r="AE266" s="128" t="str">
        <f t="shared" si="83"/>
        <v>-1.52449950805855-0.956655007804302i</v>
      </c>
      <c r="AF266" s="130"/>
      <c r="AG266" s="130"/>
      <c r="AH266" s="130"/>
      <c r="AI266" s="130"/>
      <c r="AJ266" s="130"/>
      <c r="AK266" s="130"/>
      <c r="AL266" s="130"/>
      <c r="AM266" s="130"/>
      <c r="AN266" s="130"/>
      <c r="AO266" s="130"/>
      <c r="AP266" s="130"/>
      <c r="AQ266" s="130"/>
      <c r="AR266" s="130"/>
      <c r="AS266" s="130"/>
    </row>
    <row r="267" spans="1:45" s="166" customFormat="1" x14ac:dyDescent="0.2">
      <c r="A267" s="132">
        <f t="shared" si="76"/>
        <v>1.2350000000000001</v>
      </c>
      <c r="B267" s="132">
        <f t="shared" si="77"/>
        <v>4.7399999999999869</v>
      </c>
      <c r="C267" s="146">
        <f t="shared" si="56"/>
        <v>54954.087385760846</v>
      </c>
      <c r="D267" s="137">
        <f t="shared" si="57"/>
        <v>-1.235205494349259</v>
      </c>
      <c r="E267" s="132">
        <f t="shared" si="58"/>
        <v>52.022752275037703</v>
      </c>
      <c r="G267" s="146"/>
      <c r="H267" s="184" t="str">
        <f t="shared" si="59"/>
        <v>0.5-0.0131642902998343i</v>
      </c>
      <c r="I267" s="132" t="str">
        <f t="shared" si="60"/>
        <v>0.01-0.0658214514991714i</v>
      </c>
      <c r="J267" s="132" t="str">
        <f t="shared" si="61"/>
        <v>0.0177141507574212-0.0620454966954307i</v>
      </c>
      <c r="K267" s="132"/>
      <c r="L267" s="132" t="str">
        <f t="shared" si="62"/>
        <v>0.0201722177958585-0.0603615862930046i</v>
      </c>
      <c r="M267" s="132" t="str">
        <f t="shared" si="63"/>
        <v>0.009+1.13944615762453i</v>
      </c>
      <c r="N267" s="132" t="str">
        <f t="shared" si="64"/>
        <v>-0.0553919153437908-0.0201913023253701i</v>
      </c>
      <c r="O267" s="185">
        <f t="shared" si="65"/>
        <v>-24.589261076017461</v>
      </c>
      <c r="P267" s="185">
        <f t="shared" si="66"/>
        <v>-159.97233523334168</v>
      </c>
      <c r="Q267" s="132">
        <f t="shared" si="67"/>
        <v>345286.71443167556</v>
      </c>
      <c r="R267" s="132">
        <f t="shared" si="78"/>
        <v>4.7399999999999869</v>
      </c>
      <c r="S267" s="164">
        <f t="shared" si="68"/>
        <v>-9.5423073366404445</v>
      </c>
      <c r="T267" s="132" t="str">
        <f t="shared" si="69"/>
        <v>1+4.80224762431574i</v>
      </c>
      <c r="U267" s="138">
        <f t="shared" si="70"/>
        <v>8.3071018422911855</v>
      </c>
      <c r="V267" s="132">
        <f t="shared" si="71"/>
        <v>211.99508750837938</v>
      </c>
      <c r="W267" s="132">
        <f t="shared" si="72"/>
        <v>34.729370431483872</v>
      </c>
      <c r="X267" s="138">
        <f t="shared" si="73"/>
        <v>-87.190126809408156</v>
      </c>
      <c r="Y267" s="128" t="str">
        <f t="shared" si="74"/>
        <v>2.67213570999331-54.4435025560918i</v>
      </c>
      <c r="Z267" s="128" t="str">
        <f t="shared" si="75"/>
        <v>-241345.322163628i</v>
      </c>
      <c r="AA267" s="128" t="str">
        <f t="shared" si="79"/>
        <v>64900-19924.9596609936i</v>
      </c>
      <c r="AB267" s="128" t="str">
        <f t="shared" si="80"/>
        <v>5900-36529.0927118216i</v>
      </c>
      <c r="AC267" s="128" t="str">
        <f t="shared" si="81"/>
        <v>56749.0470201265-28455.2649959794i</v>
      </c>
      <c r="AD267" s="128" t="str">
        <f t="shared" si="82"/>
        <v>15033.3535725329-29931.3669704895i</v>
      </c>
      <c r="AE267" s="128" t="str">
        <f t="shared" si="83"/>
        <v>-1.57137340349448-1.00461756027634i</v>
      </c>
      <c r="AF267" s="130"/>
      <c r="AG267" s="130"/>
      <c r="AH267" s="130"/>
      <c r="AI267" s="130"/>
      <c r="AJ267" s="130"/>
      <c r="AK267" s="130"/>
      <c r="AL267" s="130"/>
      <c r="AM267" s="130"/>
      <c r="AN267" s="130"/>
      <c r="AO267" s="130"/>
      <c r="AP267" s="130"/>
      <c r="AQ267" s="130"/>
      <c r="AR267" s="130"/>
      <c r="AS267" s="130"/>
    </row>
    <row r="268" spans="1:45" s="166" customFormat="1" x14ac:dyDescent="0.2">
      <c r="A268" s="132">
        <f t="shared" si="76"/>
        <v>1.732</v>
      </c>
      <c r="B268" s="132">
        <f t="shared" si="77"/>
        <v>4.7599999999999874</v>
      </c>
      <c r="C268" s="146">
        <f t="shared" si="56"/>
        <v>57543.993733714</v>
      </c>
      <c r="D268" s="137">
        <f t="shared" si="57"/>
        <v>-1.7317465947595476</v>
      </c>
      <c r="E268" s="132">
        <f t="shared" si="58"/>
        <v>51.230046359254374</v>
      </c>
      <c r="G268" s="146"/>
      <c r="H268" s="184" t="str">
        <f t="shared" si="59"/>
        <v>0.5-0.0125717996365756i</v>
      </c>
      <c r="I268" s="132" t="str">
        <f t="shared" si="60"/>
        <v>0.01-0.0628589981828779i</v>
      </c>
      <c r="J268" s="132" t="str">
        <f t="shared" si="61"/>
        <v>0.0170330360237686-0.059353728610283i</v>
      </c>
      <c r="K268" s="132"/>
      <c r="L268" s="132" t="str">
        <f t="shared" si="62"/>
        <v>0.0192842248250048-0.0578088342851646i</v>
      </c>
      <c r="M268" s="132" t="str">
        <f t="shared" si="63"/>
        <v>0.009+1.19314660061555i</v>
      </c>
      <c r="N268" s="132" t="str">
        <f t="shared" si="64"/>
        <v>-0.0504632696303749-0.0182426233873805i</v>
      </c>
      <c r="O268" s="185">
        <f t="shared" si="65"/>
        <v>-25.407078202375803</v>
      </c>
      <c r="P268" s="185">
        <f t="shared" si="66"/>
        <v>-160.12492472032804</v>
      </c>
      <c r="Q268" s="132">
        <f t="shared" si="67"/>
        <v>361559.57594410598</v>
      </c>
      <c r="R268" s="132">
        <f t="shared" si="78"/>
        <v>4.7599999999999865</v>
      </c>
      <c r="S268" s="164">
        <f t="shared" si="68"/>
        <v>-10.360124462998787</v>
      </c>
      <c r="T268" s="132" t="str">
        <f t="shared" si="69"/>
        <v>1+5.02857058223063i</v>
      </c>
      <c r="U268" s="138">
        <f t="shared" si="70"/>
        <v>8.6283778682392391</v>
      </c>
      <c r="V268" s="132">
        <f t="shared" si="71"/>
        <v>211.35497107958241</v>
      </c>
      <c r="W268" s="132">
        <f t="shared" si="72"/>
        <v>34.330493365329922</v>
      </c>
      <c r="X268" s="138">
        <f t="shared" si="73"/>
        <v>-87.345341393010614</v>
      </c>
      <c r="Y268" s="128" t="str">
        <f t="shared" si="74"/>
        <v>2.41132261485551-52.0065866466784i</v>
      </c>
      <c r="Z268" s="128" t="str">
        <f t="shared" si="75"/>
        <v>-230482.99333722i</v>
      </c>
      <c r="AA268" s="128" t="str">
        <f t="shared" si="79"/>
        <v>64900-19028.1887530251i</v>
      </c>
      <c r="AB268" s="128" t="str">
        <f t="shared" si="80"/>
        <v>5900-34885.0127138794i</v>
      </c>
      <c r="AC268" s="128" t="str">
        <f t="shared" si="81"/>
        <v>56598.3313874447-28028.8816364788i</v>
      </c>
      <c r="AD268" s="128" t="str">
        <f t="shared" si="82"/>
        <v>14272.2441128483-28813.3216669062i</v>
      </c>
      <c r="AE268" s="128" t="str">
        <f t="shared" si="83"/>
        <v>-1.62225488102951-1.05221806675072i</v>
      </c>
      <c r="AF268" s="130"/>
      <c r="AG268" s="130"/>
      <c r="AH268" s="130"/>
      <c r="AI268" s="130"/>
      <c r="AJ268" s="130"/>
      <c r="AK268" s="130"/>
      <c r="AL268" s="130"/>
      <c r="AM268" s="130"/>
      <c r="AN268" s="130"/>
      <c r="AO268" s="130"/>
      <c r="AP268" s="130"/>
      <c r="AQ268" s="130"/>
      <c r="AR268" s="130"/>
      <c r="AS268" s="130"/>
    </row>
    <row r="269" spans="1:45" s="166" customFormat="1" x14ac:dyDescent="0.2">
      <c r="A269" s="132">
        <f t="shared" si="76"/>
        <v>2.2280000000000002</v>
      </c>
      <c r="B269" s="132">
        <f t="shared" si="77"/>
        <v>4.779999999999986</v>
      </c>
      <c r="C269" s="146">
        <f t="shared" si="56"/>
        <v>60255.95860743388</v>
      </c>
      <c r="D269" s="137">
        <f t="shared" si="57"/>
        <v>-2.2277646027509359</v>
      </c>
      <c r="E269" s="132">
        <f t="shared" si="58"/>
        <v>50.365375746630548</v>
      </c>
      <c r="G269" s="146"/>
      <c r="H269" s="184" t="str">
        <f t="shared" si="59"/>
        <v>0.5-0.0120059754458767i</v>
      </c>
      <c r="I269" s="132" t="str">
        <f t="shared" si="60"/>
        <v>0.01-0.0600298772293836i</v>
      </c>
      <c r="J269" s="132" t="str">
        <f t="shared" si="61"/>
        <v>0.016409394367092-0.0567704581451618i</v>
      </c>
      <c r="K269" s="132"/>
      <c r="L269" s="132" t="str">
        <f t="shared" si="62"/>
        <v>0.0184694070992462-0.0553506953365539i</v>
      </c>
      <c r="M269" s="132" t="str">
        <f t="shared" si="63"/>
        <v>0.009+1.24937786751442i</v>
      </c>
      <c r="N269" s="132" t="str">
        <f t="shared" si="64"/>
        <v>-0.0459761223402179-0.0165258751060608i</v>
      </c>
      <c r="O269" s="185">
        <f t="shared" si="65"/>
        <v>-26.221642519873065</v>
      </c>
      <c r="P269" s="185">
        <f t="shared" si="66"/>
        <v>-160.22929288714514</v>
      </c>
      <c r="Q269" s="132">
        <f t="shared" si="67"/>
        <v>378599.35379224987</v>
      </c>
      <c r="R269" s="132">
        <f t="shared" si="78"/>
        <v>4.779999999999986</v>
      </c>
      <c r="S269" s="164">
        <f t="shared" si="68"/>
        <v>-11.174688780496048</v>
      </c>
      <c r="T269" s="132" t="str">
        <f t="shared" si="69"/>
        <v>1+5.26555981254261i</v>
      </c>
      <c r="U269" s="138">
        <f t="shared" si="70"/>
        <v>8.9469241777451121</v>
      </c>
      <c r="V269" s="132">
        <f t="shared" si="71"/>
        <v>210.59466863377568</v>
      </c>
      <c r="W269" s="132">
        <f t="shared" si="72"/>
        <v>33.931515418067562</v>
      </c>
      <c r="X269" s="138">
        <f t="shared" si="73"/>
        <v>-87.494970798500461</v>
      </c>
      <c r="Y269" s="128" t="str">
        <f t="shared" si="74"/>
        <v>2.17333944173301-49.6775942395132i</v>
      </c>
      <c r="Z269" s="128" t="str">
        <f t="shared" si="75"/>
        <v>-220109.549841073i</v>
      </c>
      <c r="AA269" s="128" t="str">
        <f t="shared" si="79"/>
        <v>64900-18171.7791845555i</v>
      </c>
      <c r="AB269" s="128" t="str">
        <f t="shared" si="80"/>
        <v>5900-33314.9285050183i</v>
      </c>
      <c r="AC269" s="128" t="str">
        <f t="shared" si="81"/>
        <v>56433.9924389865-27656.9848548065i</v>
      </c>
      <c r="AD269" s="128" t="str">
        <f t="shared" si="82"/>
        <v>13567.3888540755-27719.1160127584i</v>
      </c>
      <c r="AE269" s="128" t="str">
        <f t="shared" si="83"/>
        <v>-1.6774235648814-1.09920804382471i</v>
      </c>
      <c r="AF269" s="130"/>
      <c r="AG269" s="130"/>
      <c r="AH269" s="130"/>
      <c r="AI269" s="130"/>
      <c r="AJ269" s="130"/>
      <c r="AK269" s="130"/>
      <c r="AL269" s="130"/>
      <c r="AM269" s="130"/>
      <c r="AN269" s="130"/>
      <c r="AO269" s="130"/>
      <c r="AP269" s="130"/>
      <c r="AQ269" s="130"/>
      <c r="AR269" s="130"/>
      <c r="AS269" s="130"/>
    </row>
    <row r="270" spans="1:45" s="166" customFormat="1" x14ac:dyDescent="0.2">
      <c r="A270" s="132">
        <f t="shared" si="76"/>
        <v>2.7240000000000002</v>
      </c>
      <c r="B270" s="132">
        <f t="shared" si="77"/>
        <v>4.7999999999999865</v>
      </c>
      <c r="C270" s="146">
        <f t="shared" si="56"/>
        <v>63095.734448017327</v>
      </c>
      <c r="D270" s="137">
        <f t="shared" si="57"/>
        <v>-2.7242255595929095</v>
      </c>
      <c r="E270" s="132">
        <f t="shared" si="58"/>
        <v>49.425832286325146</v>
      </c>
      <c r="G270" s="146"/>
      <c r="H270" s="184" t="str">
        <f t="shared" si="59"/>
        <v>0.5-0.0114656175387677i</v>
      </c>
      <c r="I270" s="132" t="str">
        <f t="shared" si="60"/>
        <v>0.01-0.0573280876938385i</v>
      </c>
      <c r="J270" s="132" t="str">
        <f t="shared" si="61"/>
        <v>0.0158385706173673-0.0542923648312744i</v>
      </c>
      <c r="K270" s="132"/>
      <c r="L270" s="132" t="str">
        <f t="shared" si="62"/>
        <v>0.0177221237020987-0.0529853535707369i</v>
      </c>
      <c r="M270" s="132" t="str">
        <f t="shared" si="63"/>
        <v>0.009+1.30825923237731i</v>
      </c>
      <c r="N270" s="132" t="str">
        <f t="shared" si="64"/>
        <v>-0.0418906647725726-0.0150098966816929i</v>
      </c>
      <c r="O270" s="185">
        <f t="shared" si="65"/>
        <v>-27.033074383176405</v>
      </c>
      <c r="P270" s="185">
        <f t="shared" si="66"/>
        <v>-160.28682652474586</v>
      </c>
      <c r="Q270" s="132">
        <f t="shared" si="67"/>
        <v>396442.19162948732</v>
      </c>
      <c r="R270" s="132">
        <f t="shared" si="78"/>
        <v>4.7999999999999856</v>
      </c>
      <c r="S270" s="164">
        <f t="shared" si="68"/>
        <v>-11.986120643799387</v>
      </c>
      <c r="T270" s="132" t="str">
        <f t="shared" si="69"/>
        <v>1+5.51371800118291i</v>
      </c>
      <c r="U270" s="138">
        <f t="shared" si="70"/>
        <v>9.2618950842064773</v>
      </c>
      <c r="V270" s="132">
        <f t="shared" si="71"/>
        <v>209.71265881107101</v>
      </c>
      <c r="W270" s="132">
        <f t="shared" si="72"/>
        <v>33.532445197504998</v>
      </c>
      <c r="X270" s="138">
        <f t="shared" si="73"/>
        <v>-87.639326511842341</v>
      </c>
      <c r="Y270" s="128" t="str">
        <f t="shared" si="74"/>
        <v>1.95619736362772-47.4518920606134i</v>
      </c>
      <c r="Z270" s="128" t="str">
        <f t="shared" si="75"/>
        <v>-210202.988210741i</v>
      </c>
      <c r="AA270" s="128" t="str">
        <f t="shared" si="79"/>
        <v>64900-17353.9143960691i</v>
      </c>
      <c r="AB270" s="128" t="str">
        <f t="shared" si="80"/>
        <v>5900-31815.5097261267i</v>
      </c>
      <c r="AC270" s="128" t="str">
        <f t="shared" si="81"/>
        <v>56254.8917858151-27338.0996657468i</v>
      </c>
      <c r="AD270" s="128" t="str">
        <f t="shared" si="82"/>
        <v>12915.4419547076-26650.5151056662i</v>
      </c>
      <c r="AE270" s="128" t="str">
        <f t="shared" si="83"/>
        <v>-1.73716428006206-1.14529189667076i</v>
      </c>
      <c r="AF270" s="130"/>
      <c r="AG270" s="130"/>
      <c r="AH270" s="130"/>
      <c r="AI270" s="130"/>
      <c r="AJ270" s="130"/>
      <c r="AK270" s="130"/>
      <c r="AL270" s="130"/>
      <c r="AM270" s="130"/>
      <c r="AN270" s="130"/>
      <c r="AO270" s="130"/>
      <c r="AP270" s="130"/>
      <c r="AQ270" s="130"/>
      <c r="AR270" s="130"/>
      <c r="AS270" s="130"/>
    </row>
    <row r="271" spans="1:45" s="166" customFormat="1" x14ac:dyDescent="0.2">
      <c r="A271" s="132">
        <f t="shared" si="76"/>
        <v>3.222</v>
      </c>
      <c r="B271" s="132">
        <f t="shared" si="77"/>
        <v>4.8199999999999852</v>
      </c>
      <c r="C271" s="146">
        <f t="shared" si="56"/>
        <v>66069.344800757375</v>
      </c>
      <c r="D271" s="137">
        <f t="shared" si="57"/>
        <v>-3.2221268694598564</v>
      </c>
      <c r="E271" s="132">
        <f t="shared" si="58"/>
        <v>48.408778555580682</v>
      </c>
      <c r="G271" s="146"/>
      <c r="H271" s="184" t="str">
        <f t="shared" si="59"/>
        <v>0.5-0.0109495797436805i</v>
      </c>
      <c r="I271" s="132" t="str">
        <f t="shared" si="60"/>
        <v>0.01-0.0547478987184026i</v>
      </c>
      <c r="J271" s="132" t="str">
        <f t="shared" si="61"/>
        <v>0.0153162543479958-0.0519160899342958i</v>
      </c>
      <c r="K271" s="132"/>
      <c r="L271" s="132" t="str">
        <f t="shared" si="62"/>
        <v>0.0170371043485049-0.0507107939000932i</v>
      </c>
      <c r="M271" s="132" t="str">
        <f t="shared" si="63"/>
        <v>0.009+1.36991559047343i</v>
      </c>
      <c r="N271" s="132" t="str">
        <f t="shared" si="64"/>
        <v>-0.0381706597591074-0.0136680505153861i</v>
      </c>
      <c r="O271" s="185">
        <f t="shared" si="65"/>
        <v>-27.841470948763501</v>
      </c>
      <c r="P271" s="185">
        <f t="shared" si="66"/>
        <v>-160.29870192802164</v>
      </c>
      <c r="Q271" s="132">
        <f t="shared" si="67"/>
        <v>415125.93650710071</v>
      </c>
      <c r="R271" s="132">
        <f t="shared" si="78"/>
        <v>4.8199999999999852</v>
      </c>
      <c r="S271" s="164">
        <f t="shared" si="68"/>
        <v>-12.794517209386484</v>
      </c>
      <c r="T271" s="132" t="str">
        <f t="shared" si="69"/>
        <v>1+5.77357152494076i</v>
      </c>
      <c r="U271" s="138">
        <f t="shared" si="70"/>
        <v>9.5723903399266277</v>
      </c>
      <c r="V271" s="132">
        <f t="shared" si="71"/>
        <v>208.70748048360232</v>
      </c>
      <c r="W271" s="132">
        <f t="shared" si="72"/>
        <v>33.13329053962206</v>
      </c>
      <c r="X271" s="138">
        <f t="shared" si="73"/>
        <v>-87.778709587796811</v>
      </c>
      <c r="Y271" s="128" t="str">
        <f t="shared" si="74"/>
        <v>1.75807921220454-45.3250266422426i</v>
      </c>
      <c r="Z271" s="128" t="str">
        <f t="shared" si="75"/>
        <v>-200742.295300809i</v>
      </c>
      <c r="AA271" s="128" t="str">
        <f t="shared" si="79"/>
        <v>64900-16572.8595866967i</v>
      </c>
      <c r="AB271" s="128" t="str">
        <f t="shared" si="80"/>
        <v>5900-30383.575908944i</v>
      </c>
      <c r="AC271" s="128" t="str">
        <f t="shared" si="81"/>
        <v>56059.8138975135-27070.7739716657i</v>
      </c>
      <c r="AD271" s="128" t="str">
        <f t="shared" si="82"/>
        <v>12313.1258008902-25608.9435507862i</v>
      </c>
      <c r="AE271" s="128" t="str">
        <f t="shared" si="83"/>
        <v>-1.80176320557712-1.1901213028873i</v>
      </c>
      <c r="AF271" s="130"/>
      <c r="AG271" s="130"/>
      <c r="AH271" s="130"/>
      <c r="AI271" s="130"/>
      <c r="AJ271" s="130"/>
      <c r="AK271" s="130"/>
      <c r="AL271" s="130"/>
      <c r="AM271" s="130"/>
      <c r="AN271" s="130"/>
      <c r="AO271" s="130"/>
      <c r="AP271" s="130"/>
      <c r="AQ271" s="130"/>
      <c r="AR271" s="130"/>
      <c r="AS271" s="130"/>
    </row>
    <row r="272" spans="1:45" s="166" customFormat="1" x14ac:dyDescent="0.2">
      <c r="A272" s="132">
        <f t="shared" si="76"/>
        <v>3.7229999999999999</v>
      </c>
      <c r="B272" s="132">
        <f t="shared" si="77"/>
        <v>4.8399999999999856</v>
      </c>
      <c r="C272" s="146">
        <f t="shared" ref="C272:C330" si="84">10^R272</f>
        <v>69183.097091891308</v>
      </c>
      <c r="D272" s="137">
        <f t="shared" ref="D272:D330" si="85">S272+U272</f>
        <v>-3.7225044610252471</v>
      </c>
      <c r="E272" s="132">
        <f t="shared" ref="E272:E330" si="86">P272+V272</f>
        <v>47.311875227603309</v>
      </c>
      <c r="G272" s="146"/>
      <c r="H272" s="184" t="str">
        <f t="shared" ref="H272:H330" si="87">IMSUM(IMDIV(1,COMPLEX(0,Q272*COUT*10^-6)),ESR*10^-3)</f>
        <v>0.5-0.0104567674752654i</v>
      </c>
      <c r="I272" s="132" t="str">
        <f t="shared" ref="I272:I330" si="88">IMSUM(IMDIV(1,COMPLEX(0,Q272*MLCC*10^-6)),MLCC_ESR*10^-3)</f>
        <v>0.01-0.0522838373763269i</v>
      </c>
      <c r="J272" s="132" t="str">
        <f t="shared" ref="J272:J330" si="89">IMDIV(IMPRODUCT(H272,I272),IMSUM(H272,I272))</f>
        <v>0.0148384598113532-0.0496382596456583i</v>
      </c>
      <c r="K272" s="132"/>
      <c r="L272" s="132" t="str">
        <f t="shared" ref="L272:L330" si="90">IMDIV(IMPRODUCT(J272,VOUT/IOUT_max),IMSUM(J272,VOUT/IOUT_max))</f>
        <v>0.0164094359644481-0.0485248406427405i</v>
      </c>
      <c r="M272" s="132" t="str">
        <f t="shared" ref="M272:M330" si="91">COMPLEX(DCR*10^-3,Q272*LOUT*10^-6)</f>
        <v>0.009+1.43447772320474i</v>
      </c>
      <c r="N272" s="132" t="str">
        <f t="shared" ref="N272:N330" si="92">IMDIV(L272,IMSUM(M272,L272))</f>
        <v>-0.0347831405259472-0.0124775208189741i</v>
      </c>
      <c r="O272" s="185">
        <f t="shared" ref="O272:O330" si="93">20*LOG(IMABS(N272))</f>
        <v>-28.646906790031554</v>
      </c>
      <c r="P272" s="185">
        <f t="shared" ref="P272:P330" si="94">180/PI()*IMARGUMENT(N272)</f>
        <v>-160.26591010545312</v>
      </c>
      <c r="Q272" s="132">
        <f t="shared" ref="Q272:Q330" si="95">2*PI()*C272</f>
        <v>434690.21915295022</v>
      </c>
      <c r="R272" s="132">
        <f t="shared" si="78"/>
        <v>4.8399999999999848</v>
      </c>
      <c r="S272" s="164">
        <f t="shared" ref="S272:S330" si="96">20*LOG(IMABS(N272)*$F$62)</f>
        <v>-13.599953050654538</v>
      </c>
      <c r="T272" s="132" t="str">
        <f t="shared" ref="T272:T330" si="97">COMPLEX(1,Q272*(R_1+R_2)*C_1*10^-12)</f>
        <v>1+6.04567156797923i</v>
      </c>
      <c r="U272" s="138">
        <f t="shared" ref="U272:U330" si="98">20*LOG(IMABS(AE281))</f>
        <v>9.8774485896292905</v>
      </c>
      <c r="V272" s="132">
        <f t="shared" ref="V272:V330" si="99">IF(180/PI()*IMARGUMENT(AE281)&lt;0,180/PI()*IMARGUMENT(AE281)+360,180/PI()*IMARGUMENT(AE281))</f>
        <v>207.57778533305643</v>
      </c>
      <c r="W272" s="132">
        <f t="shared" ref="W272:W330" si="100">20*LOG(IMABS(Y272))</f>
        <v>32.734058573167403</v>
      </c>
      <c r="X272" s="138">
        <f t="shared" ref="X272:X330" si="101">180/PI()*IMARGUMENT(Y272)</f>
        <v>-87.913411191420494</v>
      </c>
      <c r="Y272" s="128" t="str">
        <f t="shared" ref="Y272:Y330" si="102">IMDIV(10^(DCGAIN/20),IMPRODUCT(COMPLEX(1,2*PI()*C272/(2*PI()*(GBWP*10^6/10^(DCGAIN/20)))),COMPLEX(1,2*PI()*C272/(2*PI()*EAP*10^6))))</f>
        <v>1.5773249313033-43.2927198831882i</v>
      </c>
      <c r="Z272" s="128" t="str">
        <f t="shared" ref="Z272:Z330" si="103">IMDIV(1,COMPLEX(0,2*PI()*C272*C_3*10^-12))</f>
        <v>-191707.403713199i</v>
      </c>
      <c r="AA272" s="128" t="str">
        <f t="shared" si="79"/>
        <v>64900-15826.9580344697i</v>
      </c>
      <c r="AB272" s="128" t="str">
        <f t="shared" si="80"/>
        <v>5900-29016.089729861i</v>
      </c>
      <c r="AC272" s="128" t="str">
        <f t="shared" si="81"/>
        <v>55847.4644124388-26853.5650743787i</v>
      </c>
      <c r="AD272" s="128" t="str">
        <f t="shared" si="82"/>
        <v>11757.2537387997-24595.5163142619i</v>
      </c>
      <c r="AE272" s="128" t="str">
        <f t="shared" si="83"/>
        <v>-1.87150285407818-1.23328928387615i</v>
      </c>
      <c r="AF272" s="130"/>
      <c r="AG272" s="130"/>
      <c r="AH272" s="130"/>
      <c r="AI272" s="130"/>
      <c r="AJ272" s="130"/>
      <c r="AK272" s="130"/>
      <c r="AL272" s="130"/>
      <c r="AM272" s="130"/>
      <c r="AN272" s="130"/>
      <c r="AO272" s="130"/>
      <c r="AP272" s="130"/>
      <c r="AQ272" s="130"/>
      <c r="AR272" s="130"/>
      <c r="AS272" s="130"/>
    </row>
    <row r="273" spans="1:45" s="166" customFormat="1" x14ac:dyDescent="0.2">
      <c r="A273" s="132">
        <f t="shared" ref="A273:A330" si="104">ROUND(ABS(D273),3)</f>
        <v>4.226</v>
      </c>
      <c r="B273" s="132">
        <f t="shared" ref="B273:B330" si="105">LOG(C273)</f>
        <v>4.8599999999999843</v>
      </c>
      <c r="C273" s="146">
        <f t="shared" si="84"/>
        <v>72443.59600749641</v>
      </c>
      <c r="D273" s="137">
        <f t="shared" si="85"/>
        <v>-4.2264393062177295</v>
      </c>
      <c r="E273" s="132">
        <f t="shared" si="86"/>
        <v>46.13312412450469</v>
      </c>
      <c r="G273" s="146"/>
      <c r="H273" s="184" t="str">
        <f t="shared" si="87"/>
        <v>0.5-0.00998613541262855i</v>
      </c>
      <c r="I273" s="132" t="str">
        <f t="shared" si="88"/>
        <v>0.01-0.0499306770631428i</v>
      </c>
      <c r="J273" s="132" t="str">
        <f t="shared" si="89"/>
        <v>0.0144015060614792-0.0474555049953791i</v>
      </c>
      <c r="K273" s="132"/>
      <c r="L273" s="132" t="str">
        <f t="shared" si="90"/>
        <v>0.015834547663554-0.046425191817715i</v>
      </c>
      <c r="M273" s="132" t="str">
        <f t="shared" si="91"/>
        <v>0.009+1.50208257551073i</v>
      </c>
      <c r="N273" s="132" t="str">
        <f t="shared" si="92"/>
        <v>-0.031698127169079-0.0114187284039396i</v>
      </c>
      <c r="O273" s="185">
        <f t="shared" si="93"/>
        <v>-29.4494344694326</v>
      </c>
      <c r="P273" s="185">
        <f t="shared" si="94"/>
        <v>-160.18927912034948</v>
      </c>
      <c r="Q273" s="132">
        <f t="shared" si="95"/>
        <v>455176.5380335552</v>
      </c>
      <c r="R273" s="132">
        <f t="shared" ref="R273:R330" si="106">R272+0.02</f>
        <v>4.8599999999999843</v>
      </c>
      <c r="S273" s="164">
        <f t="shared" si="96"/>
        <v>-14.402480730055585</v>
      </c>
      <c r="T273" s="132" t="str">
        <f t="shared" si="97"/>
        <v>1+6.33059529097069i</v>
      </c>
      <c r="U273" s="138">
        <f t="shared" si="98"/>
        <v>10.176041423837855</v>
      </c>
      <c r="V273" s="132">
        <f t="shared" si="99"/>
        <v>206.32240324485417</v>
      </c>
      <c r="W273" s="132">
        <f t="shared" si="100"/>
        <v>32.334755778573836</v>
      </c>
      <c r="X273" s="138">
        <f t="shared" si="101"/>
        <v>-88.043713130911684</v>
      </c>
      <c r="Y273" s="128" t="str">
        <f t="shared" si="102"/>
        <v>1.41241821759977-41.3508643477802i</v>
      </c>
      <c r="Z273" s="128" t="str">
        <f t="shared" si="103"/>
        <v>-183079.149231523i</v>
      </c>
      <c r="AA273" s="128" t="str">
        <f t="shared" si="79"/>
        <v>64900-15114.6275821909i</v>
      </c>
      <c r="AB273" s="128" t="str">
        <f t="shared" si="80"/>
        <v>5900-27710.1505673501i</v>
      </c>
      <c r="AC273" s="128" t="str">
        <f t="shared" si="81"/>
        <v>55616.4692021506-26685.0253100699i</v>
      </c>
      <c r="AD273" s="128" t="str">
        <f t="shared" si="82"/>
        <v>11244.7478781816-23611.0690734444i</v>
      </c>
      <c r="AE273" s="128" t="str">
        <f t="shared" si="83"/>
        <v>-1.94665564783694-1.27432407635542i</v>
      </c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</row>
    <row r="274" spans="1:45" s="166" customFormat="1" x14ac:dyDescent="0.2">
      <c r="A274" s="132">
        <f t="shared" si="104"/>
        <v>4.7350000000000003</v>
      </c>
      <c r="B274" s="132">
        <f t="shared" si="105"/>
        <v>4.8799999999999839</v>
      </c>
      <c r="C274" s="146">
        <f t="shared" si="84"/>
        <v>75857.757502915643</v>
      </c>
      <c r="D274" s="137">
        <f t="shared" si="85"/>
        <v>-4.7350628689961916</v>
      </c>
      <c r="E274" s="132">
        <f t="shared" si="86"/>
        <v>44.870927340055431</v>
      </c>
      <c r="G274" s="146"/>
      <c r="H274" s="184" t="str">
        <f t="shared" si="87"/>
        <v>0.5-0.00953668528206633i</v>
      </c>
      <c r="I274" s="132" t="str">
        <f t="shared" si="88"/>
        <v>0.01-0.0476834264103319i</v>
      </c>
      <c r="J274" s="132" t="str">
        <f t="shared" si="89"/>
        <v>0.0140019974786622-0.0453644788202762i</v>
      </c>
      <c r="K274" s="132"/>
      <c r="L274" s="132" t="str">
        <f t="shared" si="90"/>
        <v>0.0153081946308787-0.0444094494207283i</v>
      </c>
      <c r="M274" s="132" t="str">
        <f t="shared" si="91"/>
        <v>0.009+1.57287354634711i</v>
      </c>
      <c r="N274" s="132" t="str">
        <f t="shared" si="92"/>
        <v>-0.0288883625286963-0.0104748411179493i</v>
      </c>
      <c r="O274" s="185">
        <f t="shared" si="93"/>
        <v>-30.249085055745528</v>
      </c>
      <c r="P274" s="185">
        <f t="shared" si="94"/>
        <v>-160.06949409781228</v>
      </c>
      <c r="Q274" s="132">
        <f t="shared" si="95"/>
        <v>476628.34737791156</v>
      </c>
      <c r="R274" s="132">
        <f t="shared" si="106"/>
        <v>4.8799999999999839</v>
      </c>
      <c r="S274" s="164">
        <f t="shared" si="96"/>
        <v>-15.202131316368511</v>
      </c>
      <c r="T274" s="132" t="str">
        <f t="shared" si="97"/>
        <v>1+6.62894705533199i</v>
      </c>
      <c r="U274" s="138">
        <f t="shared" si="98"/>
        <v>10.46706844737232</v>
      </c>
      <c r="V274" s="132">
        <f t="shared" si="99"/>
        <v>204.94042143786771</v>
      </c>
      <c r="W274" s="132">
        <f t="shared" si="100"/>
        <v>31.93538804163801</v>
      </c>
      <c r="X274" s="138">
        <f t="shared" si="101"/>
        <v>-88.169888381364004</v>
      </c>
      <c r="Y274" s="128" t="str">
        <f t="shared" si="102"/>
        <v>1.26197425933564-39.4955183727782i</v>
      </c>
      <c r="Z274" s="128" t="str">
        <f t="shared" si="103"/>
        <v>-174839.230171217i</v>
      </c>
      <c r="AA274" s="128" t="str">
        <f t="shared" si="79"/>
        <v>64900-14434.3572814674i</v>
      </c>
      <c r="AB274" s="128" t="str">
        <f t="shared" si="80"/>
        <v>5900-26462.988349357i</v>
      </c>
      <c r="AC274" s="128" t="str">
        <f t="shared" si="81"/>
        <v>55365.3743808267-26563.6867784532i</v>
      </c>
      <c r="AD274" s="128" t="str">
        <f t="shared" si="82"/>
        <v>10772.652526986-22656.1875764967i</v>
      </c>
      <c r="AE274" s="128" t="str">
        <f t="shared" si="83"/>
        <v>-2.02747583674396-1.31268297492913i</v>
      </c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</row>
    <row r="275" spans="1:45" s="166" customFormat="1" x14ac:dyDescent="0.2">
      <c r="A275" s="132">
        <f t="shared" si="104"/>
        <v>5.25</v>
      </c>
      <c r="B275" s="132">
        <f t="shared" si="105"/>
        <v>4.8999999999999844</v>
      </c>
      <c r="C275" s="146">
        <f t="shared" si="84"/>
        <v>79432.823472425283</v>
      </c>
      <c r="D275" s="137">
        <f t="shared" si="85"/>
        <v>-5.2495609663308471</v>
      </c>
      <c r="E275" s="132">
        <f t="shared" si="86"/>
        <v>43.52416245591354</v>
      </c>
      <c r="G275" s="146"/>
      <c r="H275" s="184" t="str">
        <f t="shared" si="87"/>
        <v>0.5-0.00910746373959314i</v>
      </c>
      <c r="I275" s="132" t="str">
        <f t="shared" si="88"/>
        <v>0.01-0.0455373186979657i</v>
      </c>
      <c r="J275" s="132" t="str">
        <f t="shared" si="89"/>
        <v>0.0136368048606416-0.0433618701012267i</v>
      </c>
      <c r="K275" s="132"/>
      <c r="L275" s="132" t="str">
        <f t="shared" si="90"/>
        <v>0.0148264413386471-0.0424751459940345i</v>
      </c>
      <c r="M275" s="132" t="str">
        <f t="shared" si="91"/>
        <v>0.009+1.64700079285412i</v>
      </c>
      <c r="N275" s="132" t="str">
        <f t="shared" si="92"/>
        <v>-0.0263290680117526-0.00963136324020248i</v>
      </c>
      <c r="O275" s="185">
        <f t="shared" si="93"/>
        <v>-31.045868581225001</v>
      </c>
      <c r="P275" s="185">
        <f t="shared" si="94"/>
        <v>-159.90711535461705</v>
      </c>
      <c r="Q275" s="132">
        <f t="shared" si="95"/>
        <v>499091.14934973232</v>
      </c>
      <c r="R275" s="132">
        <f t="shared" si="106"/>
        <v>4.8999999999999835</v>
      </c>
      <c r="S275" s="164">
        <f t="shared" si="96"/>
        <v>-15.998914841847984</v>
      </c>
      <c r="T275" s="132" t="str">
        <f t="shared" si="97"/>
        <v>1+6.94135970515608i</v>
      </c>
      <c r="U275" s="138">
        <f t="shared" si="98"/>
        <v>10.749353875517137</v>
      </c>
      <c r="V275" s="132">
        <f t="shared" si="99"/>
        <v>203.43127781053059</v>
      </c>
      <c r="W275" s="132">
        <f t="shared" si="100"/>
        <v>31.535960702375647</v>
      </c>
      <c r="X275" s="138">
        <f t="shared" si="101"/>
        <v>-88.292201599165026</v>
      </c>
      <c r="Y275" s="128" t="str">
        <f t="shared" si="102"/>
        <v>1.12472848934593-37.7229010411707i</v>
      </c>
      <c r="Z275" s="128" t="str">
        <f t="shared" si="103"/>
        <v>-166970.168559207i</v>
      </c>
      <c r="AA275" s="128" t="str">
        <f t="shared" si="79"/>
        <v>64900-13784.704187786i</v>
      </c>
      <c r="AB275" s="128" t="str">
        <f t="shared" si="80"/>
        <v>5900-25271.9576776076i</v>
      </c>
      <c r="AC275" s="128" t="str">
        <f t="shared" si="81"/>
        <v>55092.6474756253-26488.0451599424i</v>
      </c>
      <c r="AD275" s="128" t="str">
        <f t="shared" si="82"/>
        <v>10338.1438101786-21731.2356488437i</v>
      </c>
      <c r="AE275" s="128" t="str">
        <f t="shared" si="83"/>
        <v>-2.11418948594515-1.3477463918586i</v>
      </c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</row>
    <row r="276" spans="1:45" s="166" customFormat="1" x14ac:dyDescent="0.2">
      <c r="A276" s="132">
        <f t="shared" si="104"/>
        <v>5.7709999999999999</v>
      </c>
      <c r="B276" s="132">
        <f t="shared" si="105"/>
        <v>4.9199999999999831</v>
      </c>
      <c r="C276" s="146">
        <f t="shared" si="84"/>
        <v>83176.377110263929</v>
      </c>
      <c r="D276" s="137">
        <f t="shared" si="85"/>
        <v>-5.7711754318222503</v>
      </c>
      <c r="E276" s="132">
        <f t="shared" si="86"/>
        <v>42.092273249602982</v>
      </c>
      <c r="G276" s="146"/>
      <c r="H276" s="184" t="str">
        <f t="shared" si="87"/>
        <v>0.5-0.00869756034877048i</v>
      </c>
      <c r="I276" s="132" t="str">
        <f t="shared" si="88"/>
        <v>0.01-0.0434878017438526i</v>
      </c>
      <c r="J276" s="132" t="str">
        <f t="shared" si="89"/>
        <v>0.0133030472030345-0.0414444159611537i</v>
      </c>
      <c r="K276" s="132"/>
      <c r="L276" s="132" t="str">
        <f t="shared" si="90"/>
        <v>0.0143856444430855-0.0406197678054055i</v>
      </c>
      <c r="M276" s="132" t="str">
        <f t="shared" si="91"/>
        <v>0.009+1.72462154886001i</v>
      </c>
      <c r="N276" s="132" t="str">
        <f t="shared" si="92"/>
        <v>-0.0239977191148994-0.00887579023841125i</v>
      </c>
      <c r="O276" s="185">
        <f t="shared" si="93"/>
        <v>-31.839774438586311</v>
      </c>
      <c r="P276" s="185">
        <f t="shared" si="94"/>
        <v>-159.70259504502295</v>
      </c>
      <c r="Q276" s="132">
        <f t="shared" si="95"/>
        <v>522612.59056363878</v>
      </c>
      <c r="R276" s="132">
        <f t="shared" si="106"/>
        <v>4.9199999999999831</v>
      </c>
      <c r="S276" s="164">
        <f t="shared" si="96"/>
        <v>-16.792820699209297</v>
      </c>
      <c r="T276" s="132" t="str">
        <f t="shared" si="97"/>
        <v>1+7.26849590955909i</v>
      </c>
      <c r="U276" s="138">
        <f t="shared" si="98"/>
        <v>11.021645267387047</v>
      </c>
      <c r="V276" s="132">
        <f t="shared" si="99"/>
        <v>201.79486829462593</v>
      </c>
      <c r="W276" s="132">
        <f t="shared" si="100"/>
        <v>31.1364785994298</v>
      </c>
      <c r="X276" s="138">
        <f t="shared" si="101"/>
        <v>-88.410909626929509</v>
      </c>
      <c r="Y276" s="128" t="str">
        <f t="shared" si="102"/>
        <v>0.999526273865488-36.0293870731146i</v>
      </c>
      <c r="Z276" s="128" t="str">
        <f t="shared" si="103"/>
        <v>-159455.273060793i</v>
      </c>
      <c r="AA276" s="128" t="str">
        <f t="shared" si="79"/>
        <v>64900-13164.2902998343i</v>
      </c>
      <c r="AB276" s="128" t="str">
        <f t="shared" si="80"/>
        <v>5900-24134.5322163628i</v>
      </c>
      <c r="AC276" s="128" t="str">
        <f t="shared" si="81"/>
        <v>54796.6799990189-26456.5426438344i</v>
      </c>
      <c r="AD276" s="128" t="str">
        <f t="shared" si="82"/>
        <v>9938.53600336549-20836.3815913995i</v>
      </c>
      <c r="AE276" s="128" t="str">
        <f t="shared" si="83"/>
        <v>-2.20698225392221-1.37881247495458i</v>
      </c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</row>
    <row r="277" spans="1:45" s="166" customFormat="1" x14ac:dyDescent="0.2">
      <c r="A277" s="132">
        <f t="shared" si="104"/>
        <v>6.3010000000000002</v>
      </c>
      <c r="B277" s="132">
        <f t="shared" si="105"/>
        <v>4.9399999999999835</v>
      </c>
      <c r="C277" s="146">
        <f t="shared" si="84"/>
        <v>87096.358995604722</v>
      </c>
      <c r="D277" s="137">
        <f t="shared" si="85"/>
        <v>-6.301202892086943</v>
      </c>
      <c r="E277" s="132">
        <f t="shared" si="86"/>
        <v>40.575374358478996</v>
      </c>
      <c r="G277" s="146"/>
      <c r="H277" s="184" t="str">
        <f t="shared" si="87"/>
        <v>0.5-0.00830610564954985i</v>
      </c>
      <c r="I277" s="132" t="str">
        <f t="shared" si="88"/>
        <v>0.01-0.0415305282477493i</v>
      </c>
      <c r="J277" s="132" t="str">
        <f t="shared" si="89"/>
        <v>0.0129980742564877-0.0396089115927051i</v>
      </c>
      <c r="K277" s="132"/>
      <c r="L277" s="132" t="str">
        <f t="shared" si="90"/>
        <v>0.0139824356453481-0.0388407749453289i</v>
      </c>
      <c r="M277" s="132" t="str">
        <f t="shared" si="91"/>
        <v>0.009+1.80590045839507i</v>
      </c>
      <c r="N277" s="132" t="str">
        <f t="shared" si="92"/>
        <v>-0.0218738399042092-0.00819731778101836i</v>
      </c>
      <c r="O277" s="185">
        <f t="shared" si="93"/>
        <v>-32.630771722014707</v>
      </c>
      <c r="P277" s="185">
        <f t="shared" si="94"/>
        <v>-159.45629266155154</v>
      </c>
      <c r="Q277" s="132">
        <f t="shared" si="95"/>
        <v>547242.56315002218</v>
      </c>
      <c r="R277" s="132">
        <f t="shared" si="106"/>
        <v>4.9399999999999826</v>
      </c>
      <c r="S277" s="164">
        <f t="shared" si="96"/>
        <v>-17.58381798263769</v>
      </c>
      <c r="T277" s="132" t="str">
        <f t="shared" si="97"/>
        <v>1+7.61104956829051i</v>
      </c>
      <c r="U277" s="138">
        <f t="shared" si="98"/>
        <v>11.282615090550747</v>
      </c>
      <c r="V277" s="132">
        <f t="shared" si="99"/>
        <v>200.03166702003054</v>
      </c>
      <c r="W277" s="132">
        <f t="shared" si="100"/>
        <v>30.736946110377559</v>
      </c>
      <c r="X277" s="138">
        <f t="shared" si="101"/>
        <v>-88.526261988985127</v>
      </c>
      <c r="Y277" s="128" t="str">
        <f t="shared" si="102"/>
        <v>0.885313463733225-34.4115016765445i</v>
      </c>
      <c r="Z277" s="128" t="str">
        <f t="shared" si="103"/>
        <v>-152278.603575081i</v>
      </c>
      <c r="AA277" s="128" t="str">
        <f t="shared" si="79"/>
        <v>64900-12571.7996365756i</v>
      </c>
      <c r="AB277" s="128" t="str">
        <f t="shared" si="80"/>
        <v>5900-23048.299333722i</v>
      </c>
      <c r="AC277" s="128" t="str">
        <f t="shared" si="81"/>
        <v>54475.7916879965-26467.5500273646i</v>
      </c>
      <c r="AD277" s="128" t="str">
        <f t="shared" si="82"/>
        <v>9571.28507861623-19971.6228059455i</v>
      </c>
      <c r="AE277" s="128" t="str">
        <f t="shared" si="83"/>
        <v>-2.30598469354727-1.40509274082192i</v>
      </c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</row>
    <row r="278" spans="1:45" s="166" customFormat="1" x14ac:dyDescent="0.2">
      <c r="A278" s="132">
        <f t="shared" si="104"/>
        <v>6.8410000000000002</v>
      </c>
      <c r="B278" s="132">
        <f t="shared" si="105"/>
        <v>4.9599999999999822</v>
      </c>
      <c r="C278" s="146">
        <f t="shared" si="84"/>
        <v>91201.083935587303</v>
      </c>
      <c r="D278" s="137">
        <f t="shared" si="85"/>
        <v>-6.8409899146166282</v>
      </c>
      <c r="E278" s="132">
        <f t="shared" si="86"/>
        <v>38.974367096031415</v>
      </c>
      <c r="G278" s="146"/>
      <c r="H278" s="184" t="str">
        <f t="shared" si="87"/>
        <v>0.5-0.00793226931403087i</v>
      </c>
      <c r="I278" s="132" t="str">
        <f t="shared" si="88"/>
        <v>0.01-0.0396613465701545i</v>
      </c>
      <c r="J278" s="132" t="str">
        <f t="shared" si="89"/>
        <v>0.0127194499190659-0.0378522183617871i</v>
      </c>
      <c r="K278" s="132"/>
      <c r="L278" s="132" t="str">
        <f t="shared" si="90"/>
        <v>0.013613704742277-0.0371356186403094i</v>
      </c>
      <c r="M278" s="132" t="str">
        <f t="shared" si="91"/>
        <v>0.009+1.89100992492368i</v>
      </c>
      <c r="N278" s="132" t="str">
        <f t="shared" si="92"/>
        <v>-0.0199388154176101-0.00758659590856414i</v>
      </c>
      <c r="O278" s="185">
        <f t="shared" si="93"/>
        <v>-33.418809519939934</v>
      </c>
      <c r="P278" s="185">
        <f t="shared" si="94"/>
        <v>-159.16848968385733</v>
      </c>
      <c r="Q278" s="132">
        <f t="shared" si="95"/>
        <v>573033.3105829343</v>
      </c>
      <c r="R278" s="132">
        <f t="shared" si="106"/>
        <v>4.9599999999999822</v>
      </c>
      <c r="S278" s="164">
        <f t="shared" si="96"/>
        <v>-18.371855780562917</v>
      </c>
      <c r="T278" s="132" t="str">
        <f t="shared" si="97"/>
        <v>1+7.96974728358745i</v>
      </c>
      <c r="U278" s="138">
        <f t="shared" si="98"/>
        <v>11.530865865946289</v>
      </c>
      <c r="V278" s="132">
        <f t="shared" si="99"/>
        <v>198.14285677988875</v>
      </c>
      <c r="W278" s="132">
        <f t="shared" si="100"/>
        <v>30.337367188252877</v>
      </c>
      <c r="X278" s="138">
        <f t="shared" si="101"/>
        <v>-88.638501377539839</v>
      </c>
      <c r="Y278" s="128" t="str">
        <f t="shared" si="102"/>
        <v>0.781127739588643-32.8659153932873i</v>
      </c>
      <c r="Z278" s="128" t="str">
        <f t="shared" si="103"/>
        <v>-145424.9374239i</v>
      </c>
      <c r="AA278" s="128" t="str">
        <f t="shared" si="79"/>
        <v>64900-12005.9754458767i</v>
      </c>
      <c r="AB278" s="128" t="str">
        <f t="shared" si="80"/>
        <v>5900-22010.9549841073i</v>
      </c>
      <c r="AC278" s="128" t="str">
        <f t="shared" si="81"/>
        <v>54128.2366961749-26519.3480908566i</v>
      </c>
      <c r="AD278" s="128" t="str">
        <f t="shared" si="82"/>
        <v>9233.98991973111-19136.8085574193i</v>
      </c>
      <c r="AE278" s="128" t="str">
        <f t="shared" si="83"/>
        <v>-2.41125484857147-1.42570931909158i</v>
      </c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</row>
    <row r="279" spans="1:45" s="166" customFormat="1" x14ac:dyDescent="0.2">
      <c r="A279" s="132">
        <f t="shared" si="104"/>
        <v>7.3920000000000003</v>
      </c>
      <c r="B279" s="132">
        <f t="shared" si="105"/>
        <v>4.9799999999999827</v>
      </c>
      <c r="C279" s="146">
        <f t="shared" si="84"/>
        <v>95499.258602139729</v>
      </c>
      <c r="D279" s="137">
        <f t="shared" si="85"/>
        <v>-7.3919237854810262</v>
      </c>
      <c r="E279" s="132">
        <f t="shared" si="86"/>
        <v>37.291062027048639</v>
      </c>
      <c r="G279" s="146"/>
      <c r="H279" s="184" t="str">
        <f t="shared" si="87"/>
        <v>0.5-0.00757525838522484i</v>
      </c>
      <c r="I279" s="132" t="str">
        <f t="shared" si="88"/>
        <v>0.01-0.0378762919261242i</v>
      </c>
      <c r="J279" s="132" t="str">
        <f t="shared" si="89"/>
        <v>0.0124649364987113-0.0361712703108144i</v>
      </c>
      <c r="K279" s="132"/>
      <c r="L279" s="132" t="str">
        <f t="shared" si="90"/>
        <v>0.013276583043666-0.0355017560651973i</v>
      </c>
      <c r="M279" s="132" t="str">
        <f t="shared" si="91"/>
        <v>0.009+1.98013047703518i</v>
      </c>
      <c r="N279" s="132" t="str">
        <f t="shared" si="92"/>
        <v>-0.0181757208039773-0.00703552089403985i</v>
      </c>
      <c r="O279" s="185">
        <f t="shared" si="93"/>
        <v>-34.203817170424756</v>
      </c>
      <c r="P279" s="185">
        <f t="shared" si="94"/>
        <v>-158.83940362905508</v>
      </c>
      <c r="Q279" s="132">
        <f t="shared" si="95"/>
        <v>600039.53849550802</v>
      </c>
      <c r="R279" s="132">
        <f t="shared" si="106"/>
        <v>4.9799999999999818</v>
      </c>
      <c r="S279" s="164">
        <f t="shared" si="96"/>
        <v>-19.156863431047736</v>
      </c>
      <c r="T279" s="132" t="str">
        <f t="shared" si="97"/>
        <v>1+8.34534990139553i</v>
      </c>
      <c r="U279" s="138">
        <f t="shared" si="98"/>
        <v>11.764939645566709</v>
      </c>
      <c r="V279" s="132">
        <f t="shared" si="99"/>
        <v>196.13046565610372</v>
      </c>
      <c r="W279" s="132">
        <f t="shared" si="100"/>
        <v>29.937745394571955</v>
      </c>
      <c r="X279" s="138">
        <f t="shared" si="101"/>
        <v>-88.747864129754987</v>
      </c>
      <c r="Y279" s="128" t="str">
        <f t="shared" si="102"/>
        <v>0.686090687435001-31.3894389706745i</v>
      </c>
      <c r="Z279" s="128" t="str">
        <f t="shared" si="103"/>
        <v>-138879.737062456i</v>
      </c>
      <c r="AA279" s="128" t="str">
        <f t="shared" si="79"/>
        <v>64900-11465.6175387677i</v>
      </c>
      <c r="AB279" s="128" t="str">
        <f t="shared" si="80"/>
        <v>5900-21020.2988210741i</v>
      </c>
      <c r="AC279" s="128" t="str">
        <f t="shared" si="81"/>
        <v>53752.2120413096-26610.1084087525i</v>
      </c>
      <c r="AD279" s="128" t="str">
        <f t="shared" si="82"/>
        <v>8924.39162035279-18331.6608426406i</v>
      </c>
      <c r="AE279" s="128" t="str">
        <f t="shared" si="83"/>
        <v>-2.5227579984955-1.43969456171305i</v>
      </c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</row>
    <row r="280" spans="1:45" s="166" customFormat="1" x14ac:dyDescent="0.2">
      <c r="A280" s="132">
        <f t="shared" si="104"/>
        <v>7.9550000000000001</v>
      </c>
      <c r="B280" s="132">
        <f t="shared" si="105"/>
        <v>4.9999999999999813</v>
      </c>
      <c r="C280" s="132">
        <f t="shared" si="84"/>
        <v>99999.999999995751</v>
      </c>
      <c r="D280" s="137">
        <f t="shared" si="85"/>
        <v>-7.9554182514653959</v>
      </c>
      <c r="E280" s="132">
        <f t="shared" si="86"/>
        <v>35.528302066589845</v>
      </c>
      <c r="G280" s="132"/>
      <c r="H280" s="184" t="str">
        <f t="shared" si="87"/>
        <v>0.5-0.00723431559508646i</v>
      </c>
      <c r="I280" s="132" t="str">
        <f t="shared" si="88"/>
        <v>0.01-0.0361715779754323i</v>
      </c>
      <c r="J280" s="132" t="str">
        <f t="shared" si="89"/>
        <v>0.0122324798614917-0.034563079264109i</v>
      </c>
      <c r="K280" s="132"/>
      <c r="L280" s="132" t="str">
        <f t="shared" si="90"/>
        <v>0.0129684272910537-0.0339366629201018i</v>
      </c>
      <c r="M280" s="132" t="str">
        <f t="shared" si="91"/>
        <v>0.009+2.07345115136917i</v>
      </c>
      <c r="N280" s="132" t="str">
        <f t="shared" si="92"/>
        <v>-0.0165691659530031-0.00653705864021793i</v>
      </c>
      <c r="O280" s="185">
        <f t="shared" si="93"/>
        <v>-34.985704492819508</v>
      </c>
      <c r="P280" s="185">
        <f t="shared" si="94"/>
        <v>-158.46920172159429</v>
      </c>
      <c r="Q280" s="132">
        <f t="shared" si="95"/>
        <v>628318.53071793192</v>
      </c>
      <c r="R280" s="132">
        <f t="shared" si="106"/>
        <v>4.9999999999999813</v>
      </c>
      <c r="S280" s="164">
        <f t="shared" si="96"/>
        <v>-19.938750753442495</v>
      </c>
      <c r="T280" s="132" t="str">
        <f t="shared" si="97"/>
        <v>1+8.738654125225i</v>
      </c>
      <c r="U280" s="138">
        <f t="shared" si="98"/>
        <v>11.983332501977099</v>
      </c>
      <c r="V280" s="132">
        <f t="shared" si="99"/>
        <v>193.99750378818413</v>
      </c>
      <c r="W280" s="132">
        <f t="shared" si="100"/>
        <v>29.538083929125882</v>
      </c>
      <c r="X280" s="138">
        <f t="shared" si="101"/>
        <v>-88.854580696027924</v>
      </c>
      <c r="Y280" s="128" t="str">
        <f t="shared" si="102"/>
        <v>0.59940054550852-29.979018283606i</v>
      </c>
      <c r="Z280" s="128" t="str">
        <f t="shared" si="103"/>
        <v>-132629.119243252i</v>
      </c>
      <c r="AA280" s="128" t="str">
        <f t="shared" si="79"/>
        <v>64900-10949.5797436805i</v>
      </c>
      <c r="AB280" s="128" t="str">
        <f t="shared" si="80"/>
        <v>5900-20074.2295300809i</v>
      </c>
      <c r="AC280" s="128" t="str">
        <f t="shared" si="81"/>
        <v>53345.8686201188-26737.8738205319i</v>
      </c>
      <c r="AD280" s="128" t="str">
        <f t="shared" si="82"/>
        <v>8640.37123320576-17555.793381781i</v>
      </c>
      <c r="AE280" s="128" t="str">
        <f t="shared" si="83"/>
        <v>-2.64034354075282-1.44599394359705i</v>
      </c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</row>
    <row r="281" spans="1:45" s="166" customFormat="1" x14ac:dyDescent="0.2">
      <c r="A281" s="132">
        <f t="shared" si="104"/>
        <v>8.5329999999999995</v>
      </c>
      <c r="B281" s="132">
        <f t="shared" si="105"/>
        <v>5.0199999999999818</v>
      </c>
      <c r="C281" s="146">
        <f t="shared" si="84"/>
        <v>104712.85480508549</v>
      </c>
      <c r="D281" s="137">
        <f t="shared" si="85"/>
        <v>-8.5328937395133071</v>
      </c>
      <c r="E281" s="132">
        <f t="shared" si="86"/>
        <v>33.690077923641383</v>
      </c>
      <c r="G281" s="146"/>
      <c r="H281" s="184" t="str">
        <f t="shared" si="87"/>
        <v>0.5-0.00690871775824684i</v>
      </c>
      <c r="I281" s="132" t="str">
        <f t="shared" si="88"/>
        <v>0.01-0.0345435887912341i</v>
      </c>
      <c r="J281" s="132" t="str">
        <f t="shared" si="89"/>
        <v>0.0120201954661197-0.0330247387175554i</v>
      </c>
      <c r="K281" s="132"/>
      <c r="L281" s="132" t="str">
        <f t="shared" si="90"/>
        <v>0.0126868041780491-0.0324378440186657i</v>
      </c>
      <c r="M281" s="132" t="str">
        <f t="shared" si="91"/>
        <v>0.009+2.17116989358767i</v>
      </c>
      <c r="N281" s="132" t="str">
        <f t="shared" si="92"/>
        <v>-0.0151051543701457-0.00608509453326625i</v>
      </c>
      <c r="O281" s="185">
        <f t="shared" si="93"/>
        <v>-35.764362011954738</v>
      </c>
      <c r="P281" s="185">
        <f t="shared" si="94"/>
        <v>-158.05801436852713</v>
      </c>
      <c r="Q281" s="132">
        <f t="shared" si="95"/>
        <v>657930.27078414243</v>
      </c>
      <c r="R281" s="132">
        <f t="shared" si="106"/>
        <v>5.0199999999999809</v>
      </c>
      <c r="S281" s="164">
        <f t="shared" si="96"/>
        <v>-20.717408272577721</v>
      </c>
      <c r="T281" s="132" t="str">
        <f t="shared" si="97"/>
        <v>1+9.15049420606585i</v>
      </c>
      <c r="U281" s="138">
        <f t="shared" si="98"/>
        <v>12.184514533064414</v>
      </c>
      <c r="V281" s="132">
        <f t="shared" si="99"/>
        <v>191.74809229216851</v>
      </c>
      <c r="W281" s="132">
        <f t="shared" si="100"/>
        <v>29.13838565677684</v>
      </c>
      <c r="X281" s="138">
        <f t="shared" si="101"/>
        <v>-88.958876099857193</v>
      </c>
      <c r="Y281" s="128" t="str">
        <f t="shared" si="102"/>
        <v>0.520325567725115-28.6317293276236i</v>
      </c>
      <c r="Z281" s="128" t="str">
        <f t="shared" si="103"/>
        <v>-126659.825567858i</v>
      </c>
      <c r="AA281" s="128" t="str">
        <f t="shared" ref="AA281:AA339" si="107">IMSUM(R_3,IMDIV(1,COMPLEX(0,2*PI()*C272*C_2*10^-12)))</f>
        <v>64900-10456.7674752654i</v>
      </c>
      <c r="AB281" s="128" t="str">
        <f t="shared" ref="AB281:AB339" si="108">IMSUM(R_2,IMDIV(1,COMPLEX(0,2*PI()*C272*C_1*10^-12)))</f>
        <v>5900-19170.7403713199i</v>
      </c>
      <c r="AC281" s="128" t="str">
        <f t="shared" ref="AC281:AC339" si="109">IMDIV(IMPRODUCT(Z272,AA281),IMSUM(Z272,AA281))</f>
        <v>52907.3251018497-26900.5388593611i</v>
      </c>
      <c r="AD281" s="128" t="str">
        <f t="shared" ref="AD281:AD339" si="110">IMDIV(IMPRODUCT(AB281,R_1),IMSUM(AB281,R_1))</f>
        <v>8379.94629420113-16808.7287844129i</v>
      </c>
      <c r="AE281" s="128" t="str">
        <f t="shared" ref="AE281:AE339" si="111">IMDIV(IMPRODUCT(-1,Y272),IMSUM(1,IMDIV(AD281,R_4),IMPRODUCT(IMDIV(AD281,AC281),IMSUM(1,Y272))))</f>
        <v>-2.76371920742861-1.44347335437426i</v>
      </c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</row>
    <row r="282" spans="1:45" s="166" customFormat="1" x14ac:dyDescent="0.2">
      <c r="A282" s="132">
        <f t="shared" si="104"/>
        <v>9.1259999999999994</v>
      </c>
      <c r="B282" s="132">
        <f t="shared" si="105"/>
        <v>5.0399999999999805</v>
      </c>
      <c r="C282" s="146">
        <f t="shared" si="84"/>
        <v>109647.81961431362</v>
      </c>
      <c r="D282" s="137">
        <f t="shared" si="85"/>
        <v>-9.1257518666264232</v>
      </c>
      <c r="E282" s="132">
        <f t="shared" si="86"/>
        <v>31.781625905694881</v>
      </c>
      <c r="G282" s="146"/>
      <c r="H282" s="184" t="str">
        <f t="shared" si="87"/>
        <v>0.5-0.00659777423804037i</v>
      </c>
      <c r="I282" s="132" t="str">
        <f t="shared" si="88"/>
        <v>0.01-0.0329888711902019i</v>
      </c>
      <c r="J282" s="132" t="str">
        <f t="shared" si="89"/>
        <v>0.011826355273281-0.0315534266756267i</v>
      </c>
      <c r="K282" s="132"/>
      <c r="L282" s="132" t="str">
        <f t="shared" si="90"/>
        <v>0.0124294755430314-0.0310028421151344i</v>
      </c>
      <c r="M282" s="132" t="str">
        <f t="shared" si="91"/>
        <v>0.009+2.27349397824428i</v>
      </c>
      <c r="N282" s="132" t="str">
        <f t="shared" si="92"/>
        <v>-0.0137709550890532-0.0056743055449846i</v>
      </c>
      <c r="O282" s="185">
        <f t="shared" si="93"/>
        <v>-36.539661193614947</v>
      </c>
      <c r="P282" s="185">
        <f t="shared" si="94"/>
        <v>-157.60594859549076</v>
      </c>
      <c r="Q282" s="132">
        <f t="shared" si="95"/>
        <v>688937.56916493294</v>
      </c>
      <c r="R282" s="132">
        <f t="shared" si="106"/>
        <v>5.0399999999999805</v>
      </c>
      <c r="S282" s="164">
        <f t="shared" si="96"/>
        <v>-21.49270745423793</v>
      </c>
      <c r="T282" s="132" t="str">
        <f t="shared" si="97"/>
        <v>1+9.58174371194589i</v>
      </c>
      <c r="U282" s="138">
        <f t="shared" si="98"/>
        <v>12.366955587611507</v>
      </c>
      <c r="V282" s="132">
        <f t="shared" si="99"/>
        <v>189.38757450118564</v>
      </c>
      <c r="W282" s="132">
        <f t="shared" si="100"/>
        <v>28.738653131473832</v>
      </c>
      <c r="X282" s="138">
        <f t="shared" si="101"/>
        <v>-89.060970389720097</v>
      </c>
      <c r="Y282" s="128" t="str">
        <f t="shared" si="102"/>
        <v>0.448197953071108-27.3447732997782i</v>
      </c>
      <c r="Z282" s="128" t="str">
        <f t="shared" si="103"/>
        <v>-120959.194364073i</v>
      </c>
      <c r="AA282" s="128" t="str">
        <f t="shared" si="107"/>
        <v>64900-9986.13541262855i</v>
      </c>
      <c r="AB282" s="128" t="str">
        <f t="shared" si="108"/>
        <v>5900-18307.9149231523i</v>
      </c>
      <c r="AC282" s="128" t="str">
        <f t="shared" si="109"/>
        <v>52434.6849983529-27095.8305191424i</v>
      </c>
      <c r="AD282" s="128" t="str">
        <f t="shared" si="110"/>
        <v>8141.26640246589-16089.9139679352i</v>
      </c>
      <c r="AE282" s="128" t="str">
        <f t="shared" si="111"/>
        <v>-2.89242311131471-1.43093203458236i</v>
      </c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</row>
    <row r="283" spans="1:45" s="166" customFormat="1" x14ac:dyDescent="0.2">
      <c r="A283" s="132">
        <f t="shared" si="104"/>
        <v>9.7349999999999994</v>
      </c>
      <c r="B283" s="132">
        <f t="shared" si="105"/>
        <v>5.059999999999981</v>
      </c>
      <c r="C283" s="146">
        <f t="shared" si="84"/>
        <v>114815.36214968313</v>
      </c>
      <c r="D283" s="137">
        <f t="shared" si="85"/>
        <v>-9.735344482597597</v>
      </c>
      <c r="E283" s="132">
        <f t="shared" si="86"/>
        <v>29.809496766762749</v>
      </c>
      <c r="G283" s="146"/>
      <c r="H283" s="184" t="str">
        <f t="shared" si="87"/>
        <v>0.5-0.00630082548157179i</v>
      </c>
      <c r="I283" s="132" t="str">
        <f t="shared" si="88"/>
        <v>0.01-0.0315041274078588i</v>
      </c>
      <c r="J283" s="132" t="str">
        <f t="shared" si="89"/>
        <v>0.0116493755091141-0.0301464075812387i</v>
      </c>
      <c r="K283" s="132"/>
      <c r="L283" s="132" t="str">
        <f t="shared" si="90"/>
        <v>0.0121943842810184-0.0296292451782848i</v>
      </c>
      <c r="M283" s="132" t="str">
        <f t="shared" si="91"/>
        <v>0.009+2.38064044844139i</v>
      </c>
      <c r="N283" s="132" t="str">
        <f t="shared" si="92"/>
        <v>-0.0125549864746791-0.00530005108938277i</v>
      </c>
      <c r="O283" s="185">
        <f t="shared" si="93"/>
        <v>-37.311454712390898</v>
      </c>
      <c r="P283" s="185">
        <f t="shared" si="94"/>
        <v>-157.11310156874788</v>
      </c>
      <c r="Q283" s="132">
        <f t="shared" si="95"/>
        <v>721406.19649739226</v>
      </c>
      <c r="R283" s="132">
        <f t="shared" si="106"/>
        <v>5.0599999999999801</v>
      </c>
      <c r="S283" s="164">
        <f t="shared" si="96"/>
        <v>-22.264500973013885</v>
      </c>
      <c r="T283" s="132" t="str">
        <f t="shared" si="97"/>
        <v>1+10.0333173808857i</v>
      </c>
      <c r="U283" s="138">
        <f t="shared" si="98"/>
        <v>12.529156490416288</v>
      </c>
      <c r="V283" s="132">
        <f t="shared" si="99"/>
        <v>186.92259833551063</v>
      </c>
      <c r="W283" s="132">
        <f t="shared" si="100"/>
        <v>28.338888617681178</v>
      </c>
      <c r="X283" s="138">
        <f t="shared" si="101"/>
        <v>-89.161079083442289</v>
      </c>
      <c r="Y283" s="128" t="str">
        <f t="shared" si="102"/>
        <v>0.382408294157707-26.1154717808064i</v>
      </c>
      <c r="Z283" s="128" t="str">
        <f t="shared" si="103"/>
        <v>-115515.133828816i</v>
      </c>
      <c r="AA283" s="128" t="str">
        <f t="shared" si="107"/>
        <v>64900-9536.68528206633i</v>
      </c>
      <c r="AB283" s="128" t="str">
        <f t="shared" si="108"/>
        <v>5900-17483.9230171217i</v>
      </c>
      <c r="AC283" s="128" t="str">
        <f t="shared" si="109"/>
        <v>51926.0571780351-27321.2898310056i</v>
      </c>
      <c r="AD283" s="128" t="str">
        <f t="shared" si="110"/>
        <v>7922.60809742547-15398.7339241862i</v>
      </c>
      <c r="AE283" s="128" t="str">
        <f t="shared" si="111"/>
        <v>-3.02579451690998-1.40712251095753i</v>
      </c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</row>
    <row r="284" spans="1:45" s="166" customFormat="1" x14ac:dyDescent="0.2">
      <c r="A284" s="132">
        <f t="shared" si="104"/>
        <v>10.363</v>
      </c>
      <c r="B284" s="132">
        <f t="shared" si="105"/>
        <v>5.0799999999999805</v>
      </c>
      <c r="C284" s="146">
        <f t="shared" si="84"/>
        <v>120226.44346173588</v>
      </c>
      <c r="D284" s="137">
        <f t="shared" si="85"/>
        <v>-10.362938031708305</v>
      </c>
      <c r="E284" s="132">
        <f t="shared" si="86"/>
        <v>27.781583809946142</v>
      </c>
      <c r="G284" s="146"/>
      <c r="H284" s="184" t="str">
        <f t="shared" si="87"/>
        <v>0.5-0.00601724162071599i</v>
      </c>
      <c r="I284" s="132" t="str">
        <f t="shared" si="88"/>
        <v>0.01-0.0300862081035799i</v>
      </c>
      <c r="J284" s="132" t="str">
        <f t="shared" si="89"/>
        <v>0.0114878052552902-0.0288010334676867i</v>
      </c>
      <c r="K284" s="132"/>
      <c r="L284" s="132" t="str">
        <f t="shared" si="90"/>
        <v>0.0119796410018831-0.0283146923013904i</v>
      </c>
      <c r="M284" s="132" t="str">
        <f t="shared" si="91"/>
        <v>0.009+2.49283657620768i</v>
      </c>
      <c r="N284" s="132" t="str">
        <f t="shared" si="92"/>
        <v>-0.0114467108435987-0.00495827972388124i</v>
      </c>
      <c r="O284" s="185">
        <f t="shared" si="93"/>
        <v>-38.079576775205048</v>
      </c>
      <c r="P284" s="185">
        <f t="shared" si="94"/>
        <v>-156.57957429818472</v>
      </c>
      <c r="Q284" s="132">
        <f t="shared" si="95"/>
        <v>755405.02309323614</v>
      </c>
      <c r="R284" s="132">
        <f t="shared" si="106"/>
        <v>5.0799999999999796</v>
      </c>
      <c r="S284" s="164">
        <f t="shared" si="96"/>
        <v>-23.032623035828031</v>
      </c>
      <c r="T284" s="132" t="str">
        <f t="shared" si="97"/>
        <v>1+10.5061730611807i</v>
      </c>
      <c r="U284" s="138">
        <f t="shared" si="98"/>
        <v>12.669685004119726</v>
      </c>
      <c r="V284" s="132">
        <f t="shared" si="99"/>
        <v>184.36115810813087</v>
      </c>
      <c r="W284" s="132">
        <f t="shared" si="100"/>
        <v>27.939094109393345</v>
      </c>
      <c r="X284" s="138">
        <f t="shared" si="101"/>
        <v>-89.259413605578828</v>
      </c>
      <c r="Y284" s="128" t="str">
        <f t="shared" si="102"/>
        <v>0.322400501773365-24.9412620293275i</v>
      </c>
      <c r="Z284" s="128" t="str">
        <f t="shared" si="103"/>
        <v>-110316.096379793i</v>
      </c>
      <c r="AA284" s="128" t="str">
        <f t="shared" si="107"/>
        <v>64900-9107.46373959314i</v>
      </c>
      <c r="AB284" s="128" t="str">
        <f t="shared" si="108"/>
        <v>5900-16697.0168559207i</v>
      </c>
      <c r="AC284" s="128" t="str">
        <f t="shared" si="109"/>
        <v>51379.580040036-27574.2548156592i</v>
      </c>
      <c r="AD284" s="128" t="str">
        <f t="shared" si="110"/>
        <v>7722.36923741293-14734.5239415578i</v>
      </c>
      <c r="AE284" s="128" t="str">
        <f t="shared" si="111"/>
        <v>-3.1629447418017-1.3707788895987i</v>
      </c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</row>
    <row r="285" spans="1:45" s="166" customFormat="1" x14ac:dyDescent="0.2">
      <c r="A285" s="132">
        <f t="shared" si="104"/>
        <v>11.01</v>
      </c>
      <c r="B285" s="132">
        <f t="shared" si="105"/>
        <v>5.0999999999999792</v>
      </c>
      <c r="C285" s="146">
        <f t="shared" si="84"/>
        <v>125892.54117941081</v>
      </c>
      <c r="D285" s="137">
        <f t="shared" si="85"/>
        <v>-11.009674635149505</v>
      </c>
      <c r="E285" s="132">
        <f t="shared" si="86"/>
        <v>25.707099234679646</v>
      </c>
      <c r="G285" s="146"/>
      <c r="H285" s="184" t="str">
        <f t="shared" si="87"/>
        <v>0.5-0.00574642113608338i</v>
      </c>
      <c r="I285" s="132" t="str">
        <f t="shared" si="88"/>
        <v>0.01-0.028732105680417i</v>
      </c>
      <c r="J285" s="132" t="str">
        <f t="shared" si="89"/>
        <v>0.0113403158331403-0.0275147444470761i</v>
      </c>
      <c r="K285" s="132"/>
      <c r="L285" s="132" t="str">
        <f t="shared" si="90"/>
        <v>0.011783511446285-0.0270568784192388i</v>
      </c>
      <c r="M285" s="132" t="str">
        <f t="shared" si="91"/>
        <v>0.009+2.61032034457252i</v>
      </c>
      <c r="N285" s="132" t="str">
        <f t="shared" si="92"/>
        <v>-0.0104365389068878-0.00464544926576368i</v>
      </c>
      <c r="O285" s="185">
        <f t="shared" si="93"/>
        <v>-38.843843525799905</v>
      </c>
      <c r="P285" s="185">
        <f t="shared" si="94"/>
        <v>-156.00548558434326</v>
      </c>
      <c r="Q285" s="132">
        <f t="shared" si="95"/>
        <v>791006.16502197506</v>
      </c>
      <c r="R285" s="132">
        <f t="shared" si="106"/>
        <v>5.0999999999999792</v>
      </c>
      <c r="S285" s="164">
        <f t="shared" si="96"/>
        <v>-23.796889786422888</v>
      </c>
      <c r="T285" s="132" t="str">
        <f t="shared" si="97"/>
        <v>1+11.0013137431256i</v>
      </c>
      <c r="U285" s="138">
        <f t="shared" si="98"/>
        <v>12.787215151273383</v>
      </c>
      <c r="V285" s="132">
        <f t="shared" si="99"/>
        <v>181.71258481902291</v>
      </c>
      <c r="W285" s="132">
        <f t="shared" si="100"/>
        <v>27.53927134689053</v>
      </c>
      <c r="X285" s="138">
        <f t="shared" si="101"/>
        <v>-89.356181718361171</v>
      </c>
      <c r="Y285" s="128" t="str">
        <f t="shared" si="102"/>
        <v>0.267667165647678-23.8196923963626i</v>
      </c>
      <c r="Z285" s="128" t="str">
        <f t="shared" si="103"/>
        <v>-105351.054161529i</v>
      </c>
      <c r="AA285" s="128" t="str">
        <f t="shared" si="107"/>
        <v>64900-8697.56034877048i</v>
      </c>
      <c r="AB285" s="128" t="str">
        <f t="shared" si="108"/>
        <v>5900-15945.5273060793i</v>
      </c>
      <c r="AC285" s="128" t="str">
        <f t="shared" si="109"/>
        <v>50793.4494896916-27851.8454747047i</v>
      </c>
      <c r="AD285" s="128" t="str">
        <f t="shared" si="110"/>
        <v>7539.06305116965-14096.5803962385i</v>
      </c>
      <c r="AE285" s="128" t="str">
        <f t="shared" si="111"/>
        <v>-3.30273020299914-1.32065471471166i</v>
      </c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</row>
    <row r="286" spans="1:45" s="166" customFormat="1" x14ac:dyDescent="0.2">
      <c r="A286" s="132">
        <f t="shared" si="104"/>
        <v>11.677</v>
      </c>
      <c r="B286" s="132">
        <f t="shared" si="105"/>
        <v>5.1199999999999797</v>
      </c>
      <c r="C286" s="146">
        <f t="shared" si="84"/>
        <v>131825.67385563449</v>
      </c>
      <c r="D286" s="137">
        <f t="shared" si="85"/>
        <v>-11.676531910206165</v>
      </c>
      <c r="E286" s="132">
        <f t="shared" si="86"/>
        <v>23.596490038426481</v>
      </c>
      <c r="G286" s="146"/>
      <c r="H286" s="184" t="str">
        <f t="shared" si="87"/>
        <v>0.5-0.00548778958111651i</v>
      </c>
      <c r="I286" s="132" t="str">
        <f t="shared" si="88"/>
        <v>0.01-0.0274389479055826i</v>
      </c>
      <c r="J286" s="132" t="str">
        <f t="shared" si="89"/>
        <v>0.0112056909458267-0.02628506863622i</v>
      </c>
      <c r="K286" s="132"/>
      <c r="L286" s="132" t="str">
        <f t="shared" si="90"/>
        <v>0.0116044046581035-0.0258535579860747i</v>
      </c>
      <c r="M286" s="132" t="str">
        <f t="shared" si="91"/>
        <v>0.009+2.73334095235994i</v>
      </c>
      <c r="N286" s="132" t="str">
        <f t="shared" si="92"/>
        <v>-0.00951574312084037-0.00435845829033558i</v>
      </c>
      <c r="O286" s="185">
        <f t="shared" si="93"/>
        <v>-39.604053557164974</v>
      </c>
      <c r="P286" s="185">
        <f t="shared" si="94"/>
        <v>-155.39098623868981</v>
      </c>
      <c r="Q286" s="132">
        <f t="shared" si="95"/>
        <v>828285.13707877079</v>
      </c>
      <c r="R286" s="132">
        <f t="shared" si="106"/>
        <v>5.1199999999999788</v>
      </c>
      <c r="S286" s="164">
        <f t="shared" si="96"/>
        <v>-24.557099817787957</v>
      </c>
      <c r="T286" s="132" t="str">
        <f t="shared" si="97"/>
        <v>1+11.5197896864915i</v>
      </c>
      <c r="U286" s="138">
        <f t="shared" si="98"/>
        <v>12.880567907581792</v>
      </c>
      <c r="V286" s="132">
        <f t="shared" si="99"/>
        <v>178.98747627711629</v>
      </c>
      <c r="W286" s="132">
        <f t="shared" si="100"/>
        <v>27.13942183137091</v>
      </c>
      <c r="X286" s="138">
        <f t="shared" si="101"/>
        <v>-89.451587946792827</v>
      </c>
      <c r="Y286" s="128" t="str">
        <f t="shared" si="102"/>
        <v>0.217745314792292-22.7484178664157i</v>
      </c>
      <c r="Z286" s="128" t="str">
        <f t="shared" si="103"/>
        <v>-100609.475653803i</v>
      </c>
      <c r="AA286" s="128" t="str">
        <f t="shared" si="107"/>
        <v>64900-8306.10564954985i</v>
      </c>
      <c r="AB286" s="128" t="str">
        <f t="shared" si="108"/>
        <v>5900-15227.8603575081i</v>
      </c>
      <c r="AC286" s="128" t="str">
        <f t="shared" si="109"/>
        <v>50165.9507532764-28150.9515767445i</v>
      </c>
      <c r="AD286" s="128" t="str">
        <f t="shared" si="110"/>
        <v>7371.31200410267-13484.1702284365i</v>
      </c>
      <c r="AE286" s="128" t="str">
        <f t="shared" si="111"/>
        <v>-3.44373029673374-1.25557122715978i</v>
      </c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</row>
    <row r="287" spans="1:45" s="166" customFormat="1" x14ac:dyDescent="0.2">
      <c r="A287" s="132">
        <f t="shared" si="104"/>
        <v>12.364000000000001</v>
      </c>
      <c r="B287" s="132">
        <f t="shared" si="105"/>
        <v>5.1399999999999784</v>
      </c>
      <c r="C287" s="146">
        <f t="shared" si="84"/>
        <v>138038.42646028171</v>
      </c>
      <c r="D287" s="137">
        <f t="shared" si="85"/>
        <v>-12.364284056995864</v>
      </c>
      <c r="E287" s="132">
        <f t="shared" si="86"/>
        <v>21.461288725533109</v>
      </c>
      <c r="G287" s="146"/>
      <c r="H287" s="184" t="str">
        <f t="shared" si="87"/>
        <v>0.5-0.00524079836361197i</v>
      </c>
      <c r="I287" s="132" t="str">
        <f t="shared" si="88"/>
        <v>0.01-0.0262039918180598i</v>
      </c>
      <c r="J287" s="132" t="str">
        <f t="shared" si="89"/>
        <v>0.0110828175403719-0.0251096216087985i</v>
      </c>
      <c r="K287" s="132"/>
      <c r="L287" s="132" t="str">
        <f t="shared" si="90"/>
        <v>0.011440861902327-0.0247025477522655i</v>
      </c>
      <c r="M287" s="132" t="str">
        <f t="shared" si="91"/>
        <v>0.009+2.86215934277272i</v>
      </c>
      <c r="N287" s="132" t="str">
        <f t="shared" si="92"/>
        <v>-0.00867637910886782-0.00409458730433986i</v>
      </c>
      <c r="O287" s="185">
        <f t="shared" si="93"/>
        <v>-40.359988560135768</v>
      </c>
      <c r="P287" s="185">
        <f t="shared" si="94"/>
        <v>-154.73627356979549</v>
      </c>
      <c r="Q287" s="132">
        <f t="shared" si="95"/>
        <v>867321.01296143187</v>
      </c>
      <c r="R287" s="132">
        <f t="shared" si="106"/>
        <v>5.1399999999999784</v>
      </c>
      <c r="S287" s="164">
        <f t="shared" si="96"/>
        <v>-25.313034820758752</v>
      </c>
      <c r="T287" s="132" t="str">
        <f t="shared" si="97"/>
        <v>1+12.0627006482676i</v>
      </c>
      <c r="U287" s="138">
        <f t="shared" si="98"/>
        <v>12.948750763762888</v>
      </c>
      <c r="V287" s="132">
        <f t="shared" si="99"/>
        <v>176.19756229532859</v>
      </c>
      <c r="W287" s="132">
        <f t="shared" si="100"/>
        <v>26.739546837580107</v>
      </c>
      <c r="X287" s="138">
        <f t="shared" si="101"/>
        <v>-89.545833998499603</v>
      </c>
      <c r="Y287" s="128" t="str">
        <f t="shared" si="102"/>
        <v>0.172212543717071-21.7251957296037i</v>
      </c>
      <c r="Z287" s="128" t="str">
        <f t="shared" si="103"/>
        <v>-96081.3033328859i</v>
      </c>
      <c r="AA287" s="128" t="str">
        <f t="shared" si="107"/>
        <v>64900-7932.26931403087i</v>
      </c>
      <c r="AB287" s="128" t="str">
        <f t="shared" si="108"/>
        <v>5900-14542.49374239i</v>
      </c>
      <c r="AC287" s="128" t="str">
        <f t="shared" si="109"/>
        <v>49495.4939368092-28468.224076238i</v>
      </c>
      <c r="AD287" s="128" t="str">
        <f t="shared" si="110"/>
        <v>7217.84159520612-12896.5392185596i</v>
      </c>
      <c r="AE287" s="128" t="str">
        <f t="shared" si="111"/>
        <v>-3.58423346965355-1.1744761932662i</v>
      </c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</row>
    <row r="288" spans="1:45" s="166" customFormat="1" x14ac:dyDescent="0.2">
      <c r="A288" s="132">
        <f t="shared" si="104"/>
        <v>13.073</v>
      </c>
      <c r="B288" s="132">
        <f t="shared" si="105"/>
        <v>5.1599999999999788</v>
      </c>
      <c r="C288" s="146">
        <f t="shared" si="84"/>
        <v>144543.97707458562</v>
      </c>
      <c r="D288" s="137">
        <f t="shared" si="85"/>
        <v>-13.07346705082967</v>
      </c>
      <c r="E288" s="132">
        <f t="shared" si="86"/>
        <v>19.313899422462129</v>
      </c>
      <c r="G288" s="146"/>
      <c r="H288" s="184" t="str">
        <f t="shared" si="87"/>
        <v>0.5-0.00500492358208269i</v>
      </c>
      <c r="I288" s="132" t="str">
        <f t="shared" si="88"/>
        <v>0.01-0.0250246179104135i</v>
      </c>
      <c r="J288" s="132" t="str">
        <f t="shared" si="89"/>
        <v>0.0109706773501787-0.0239861054516463i</v>
      </c>
      <c r="K288" s="132"/>
      <c r="L288" s="132" t="str">
        <f t="shared" si="90"/>
        <v>0.0112915463097955-0.0236017287626131i</v>
      </c>
      <c r="M288" s="132" t="str">
        <f t="shared" si="91"/>
        <v>0.009+2.99704875688792i</v>
      </c>
      <c r="N288" s="132" t="str">
        <f t="shared" si="92"/>
        <v>-0.00791121439239549-0.00385144815921802i</v>
      </c>
      <c r="O288" s="185">
        <f t="shared" si="93"/>
        <v>-41.111414137065132</v>
      </c>
      <c r="P288" s="185">
        <f t="shared" si="94"/>
        <v>-154.04160608873934</v>
      </c>
      <c r="Q288" s="132">
        <f t="shared" si="95"/>
        <v>908196.59299633931</v>
      </c>
      <c r="R288" s="132">
        <f t="shared" si="106"/>
        <v>5.1599999999999779</v>
      </c>
      <c r="S288" s="164">
        <f t="shared" si="96"/>
        <v>-26.064460397688119</v>
      </c>
      <c r="T288" s="132" t="str">
        <f t="shared" si="97"/>
        <v>1+12.6311982153931i</v>
      </c>
      <c r="U288" s="138">
        <f t="shared" si="98"/>
        <v>12.990993346858449</v>
      </c>
      <c r="V288" s="132">
        <f t="shared" si="99"/>
        <v>173.35550551120147</v>
      </c>
      <c r="W288" s="132">
        <f t="shared" si="100"/>
        <v>26.339647424539617</v>
      </c>
      <c r="X288" s="138">
        <f t="shared" si="101"/>
        <v>-89.639119178960541</v>
      </c>
      <c r="Y288" s="128" t="str">
        <f t="shared" si="102"/>
        <v>0.130683473542634-20.7478813878216i</v>
      </c>
      <c r="Z288" s="128" t="str">
        <f t="shared" si="103"/>
        <v>-91756.9323381827i</v>
      </c>
      <c r="AA288" s="128" t="str">
        <f t="shared" si="107"/>
        <v>64900-7575.25838522483i</v>
      </c>
      <c r="AB288" s="128" t="str">
        <f t="shared" si="108"/>
        <v>5900-13887.9737062455i</v>
      </c>
      <c r="AC288" s="128" t="str">
        <f t="shared" si="109"/>
        <v>48780.6530689969-28800.0710662333i</v>
      </c>
      <c r="AD288" s="128" t="str">
        <f t="shared" si="110"/>
        <v>7077.47417795837-12332.9191751242i</v>
      </c>
      <c r="AE288" s="128" t="str">
        <f t="shared" si="111"/>
        <v>-3.72223539192259-1.07651246764669i</v>
      </c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</row>
    <row r="289" spans="1:45" s="166" customFormat="1" x14ac:dyDescent="0.2">
      <c r="A289" s="132">
        <f t="shared" si="104"/>
        <v>13.804</v>
      </c>
      <c r="B289" s="132">
        <f t="shared" si="105"/>
        <v>5.1799999999999775</v>
      </c>
      <c r="C289" s="146">
        <f t="shared" si="84"/>
        <v>151356.12484361307</v>
      </c>
      <c r="D289" s="137">
        <f t="shared" si="85"/>
        <v>-13.804350784085592</v>
      </c>
      <c r="E289" s="132">
        <f t="shared" si="86"/>
        <v>17.167326188280072</v>
      </c>
      <c r="G289" s="146"/>
      <c r="H289" s="184" t="str">
        <f t="shared" si="87"/>
        <v>0.5-0.00477966491449285i</v>
      </c>
      <c r="I289" s="132" t="str">
        <f t="shared" si="88"/>
        <v>0.01-0.0238983245724642i</v>
      </c>
      <c r="J289" s="132" t="str">
        <f t="shared" si="89"/>
        <v>0.0108683390783111-0.0229123074932324i</v>
      </c>
      <c r="K289" s="132"/>
      <c r="L289" s="132" t="str">
        <f t="shared" si="90"/>
        <v>0.0111552332245609-0.0225490476855492i</v>
      </c>
      <c r="M289" s="132" t="str">
        <f t="shared" si="91"/>
        <v>0.009+3.1382953132378i</v>
      </c>
      <c r="N289" s="132" t="str">
        <f t="shared" si="92"/>
        <v>-0.00721366373844211-0.0036269404940167i</v>
      </c>
      <c r="O289" s="185">
        <f t="shared" si="93"/>
        <v>-41.858080809359976</v>
      </c>
      <c r="P289" s="185">
        <f t="shared" si="94"/>
        <v>-153.30731834476686</v>
      </c>
      <c r="Q289" s="132">
        <f t="shared" si="95"/>
        <v>950998.57976902882</v>
      </c>
      <c r="R289" s="132">
        <f t="shared" si="106"/>
        <v>5.1799999999999775</v>
      </c>
      <c r="S289" s="164">
        <f t="shared" si="96"/>
        <v>-26.811127069982955</v>
      </c>
      <c r="T289" s="132" t="str">
        <f t="shared" si="97"/>
        <v>1+13.2264882474277i</v>
      </c>
      <c r="U289" s="138">
        <f t="shared" si="98"/>
        <v>13.006776285897363</v>
      </c>
      <c r="V289" s="132">
        <f t="shared" si="99"/>
        <v>170.47464453304693</v>
      </c>
      <c r="W289" s="132">
        <f t="shared" si="100"/>
        <v>25.939724444463891</v>
      </c>
      <c r="X289" s="138">
        <f t="shared" si="101"/>
        <v>-89.731640802760239</v>
      </c>
      <c r="Y289" s="128" t="str">
        <f t="shared" si="102"/>
        <v>0.0928065195546326-19.8144242966738i</v>
      </c>
      <c r="Z289" s="128" t="str">
        <f t="shared" si="103"/>
        <v>-87627.1900990357i</v>
      </c>
      <c r="AA289" s="128" t="str">
        <f t="shared" si="107"/>
        <v>64900-7234.31559508646i</v>
      </c>
      <c r="AB289" s="128" t="str">
        <f t="shared" si="108"/>
        <v>5900-13262.9119243252i</v>
      </c>
      <c r="AC289" s="128" t="str">
        <f t="shared" si="109"/>
        <v>48020.2081732023-29142.6592007849i</v>
      </c>
      <c r="AD289" s="128" t="str">
        <f t="shared" si="110"/>
        <v>6949.12287904235-11792.5341413263i</v>
      </c>
      <c r="AE289" s="128" t="str">
        <f t="shared" si="111"/>
        <v>-3.85545342150642-0.961094090770076i</v>
      </c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</row>
    <row r="290" spans="1:45" s="166" customFormat="1" x14ac:dyDescent="0.2">
      <c r="A290" s="132">
        <f t="shared" si="104"/>
        <v>14.557</v>
      </c>
      <c r="B290" s="132">
        <f t="shared" si="105"/>
        <v>5.199999999999978</v>
      </c>
      <c r="C290" s="146">
        <f t="shared" si="84"/>
        <v>158489.3192461032</v>
      </c>
      <c r="D290" s="137">
        <f t="shared" si="85"/>
        <v>-14.556920652703107</v>
      </c>
      <c r="E290" s="132">
        <f t="shared" si="86"/>
        <v>15.034856490374494</v>
      </c>
      <c r="G290" s="146"/>
      <c r="H290" s="184" t="str">
        <f t="shared" si="87"/>
        <v>0.5-0.00456454455700745i</v>
      </c>
      <c r="I290" s="132" t="str">
        <f t="shared" si="88"/>
        <v>0.01-0.0228227227850372i</v>
      </c>
      <c r="J290" s="132" t="str">
        <f t="shared" si="89"/>
        <v>0.0107749511820594-0.0218860987636631i</v>
      </c>
      <c r="K290" s="132"/>
      <c r="L290" s="132" t="str">
        <f t="shared" si="90"/>
        <v>0.0110308012255564-0.0215425175699611i</v>
      </c>
      <c r="M290" s="132" t="str">
        <f t="shared" si="91"/>
        <v>0.009+3.28619861470563i</v>
      </c>
      <c r="N290" s="132" t="str">
        <f t="shared" si="92"/>
        <v>-0.00657773049636296-0.00341921418535878i</v>
      </c>
      <c r="O290" s="185">
        <f t="shared" si="93"/>
        <v>-42.599725246593948</v>
      </c>
      <c r="P290" s="185">
        <f t="shared" si="94"/>
        <v>-152.5338357575132</v>
      </c>
      <c r="Q290" s="132">
        <f t="shared" si="95"/>
        <v>995817.76203201048</v>
      </c>
      <c r="R290" s="132">
        <f t="shared" si="106"/>
        <v>5.1999999999999771</v>
      </c>
      <c r="S290" s="164">
        <f t="shared" si="96"/>
        <v>-27.552771507216924</v>
      </c>
      <c r="T290" s="132" t="str">
        <f t="shared" si="97"/>
        <v>1+13.8498334343412i</v>
      </c>
      <c r="U290" s="138">
        <f t="shared" si="98"/>
        <v>12.995850854513817</v>
      </c>
      <c r="V290" s="132">
        <f t="shared" si="99"/>
        <v>167.5686922478877</v>
      </c>
      <c r="W290" s="132">
        <f t="shared" si="100"/>
        <v>25.539778549937765</v>
      </c>
      <c r="X290" s="138">
        <f t="shared" si="101"/>
        <v>-89.823594601516973</v>
      </c>
      <c r="Y290" s="128" t="str">
        <f t="shared" si="102"/>
        <v>0.0582609390806138-18.9228640438287i</v>
      </c>
      <c r="Z290" s="128" t="str">
        <f t="shared" si="103"/>
        <v>-83683.31687847i</v>
      </c>
      <c r="AA290" s="128" t="str">
        <f t="shared" si="107"/>
        <v>64900-6908.71775824684i</v>
      </c>
      <c r="AB290" s="128" t="str">
        <f t="shared" si="108"/>
        <v>5900-12665.9825567858i</v>
      </c>
      <c r="AC290" s="128" t="str">
        <f t="shared" si="109"/>
        <v>47213.1896910161-29491.9215184266i</v>
      </c>
      <c r="AD290" s="128" t="str">
        <f t="shared" si="110"/>
        <v>6831.78567212981-11274.6057212385i</v>
      </c>
      <c r="AE290" s="128" t="str">
        <f t="shared" si="111"/>
        <v>-3.98136136283834-0.827986057633218i</v>
      </c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</row>
    <row r="291" spans="1:45" s="166" customFormat="1" x14ac:dyDescent="0.2">
      <c r="A291" s="132">
        <f t="shared" si="104"/>
        <v>15.331</v>
      </c>
      <c r="B291" s="132">
        <f t="shared" si="105"/>
        <v>5.2199999999999767</v>
      </c>
      <c r="C291" s="146">
        <f t="shared" si="84"/>
        <v>165958.6907437472</v>
      </c>
      <c r="D291" s="137">
        <f t="shared" si="85"/>
        <v>-15.330870388365803</v>
      </c>
      <c r="E291" s="132">
        <f t="shared" si="86"/>
        <v>12.92971799463146</v>
      </c>
      <c r="G291" s="146"/>
      <c r="H291" s="184" t="str">
        <f t="shared" si="87"/>
        <v>0.5-0.00435910621050662i</v>
      </c>
      <c r="I291" s="132" t="str">
        <f t="shared" si="88"/>
        <v>0.01-0.0217955310525331i</v>
      </c>
      <c r="J291" s="132" t="str">
        <f t="shared" si="89"/>
        <v>0.0106897352200648-0.0209054322377507i</v>
      </c>
      <c r="K291" s="132"/>
      <c r="L291" s="132" t="str">
        <f t="shared" si="90"/>
        <v>0.0109172237914945-0.0205802181150456i</v>
      </c>
      <c r="M291" s="132" t="str">
        <f t="shared" si="91"/>
        <v>0.009+3.44107238402358i</v>
      </c>
      <c r="N291" s="132" t="str">
        <f t="shared" si="92"/>
        <v>-0.00599795335581361-0.00322663693861778i</v>
      </c>
      <c r="O291" s="185">
        <f t="shared" si="93"/>
        <v>-43.336071742636975</v>
      </c>
      <c r="P291" s="185">
        <f t="shared" si="94"/>
        <v>-151.72168926565237</v>
      </c>
      <c r="Q291" s="132">
        <f t="shared" si="95"/>
        <v>1042749.2072798732</v>
      </c>
      <c r="R291" s="132">
        <f t="shared" si="106"/>
        <v>5.2199999999999767</v>
      </c>
      <c r="S291" s="164">
        <f t="shared" si="96"/>
        <v>-28.289118003259965</v>
      </c>
      <c r="T291" s="132" t="str">
        <f t="shared" si="97"/>
        <v>1+14.5025559748485i</v>
      </c>
      <c r="U291" s="138">
        <f t="shared" si="98"/>
        <v>12.958247614894162</v>
      </c>
      <c r="V291" s="132">
        <f t="shared" si="99"/>
        <v>164.65140726028383</v>
      </c>
      <c r="W291" s="132">
        <f t="shared" si="100"/>
        <v>25.139810199414239</v>
      </c>
      <c r="X291" s="138">
        <f t="shared" si="101"/>
        <v>-89.915175129149972</v>
      </c>
      <c r="Y291" s="128" t="str">
        <f t="shared" si="102"/>
        <v>0.0267541357287966-18.0713265635678i</v>
      </c>
      <c r="Z291" s="128" t="str">
        <f t="shared" si="103"/>
        <v>-79916.9471926211i</v>
      </c>
      <c r="AA291" s="128" t="str">
        <f t="shared" si="107"/>
        <v>64900-6597.77423804037i</v>
      </c>
      <c r="AB291" s="128" t="str">
        <f t="shared" si="108"/>
        <v>5900-12095.9194364073i</v>
      </c>
      <c r="AC291" s="128" t="str">
        <f t="shared" si="109"/>
        <v>46358.9243374702-29843.5725436968i</v>
      </c>
      <c r="AD291" s="128" t="str">
        <f t="shared" si="110"/>
        <v>6724.53964993706-10778.3576199503i</v>
      </c>
      <c r="AE291" s="128" t="str">
        <f t="shared" si="111"/>
        <v>-4.09724767605344-0.677382081773155i</v>
      </c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</row>
    <row r="292" spans="1:45" s="166" customFormat="1" x14ac:dyDescent="0.2">
      <c r="A292" s="132">
        <f t="shared" si="104"/>
        <v>16.126000000000001</v>
      </c>
      <c r="B292" s="132">
        <f t="shared" si="105"/>
        <v>5.2399999999999771</v>
      </c>
      <c r="C292" s="146">
        <f t="shared" si="84"/>
        <v>173780.08287492822</v>
      </c>
      <c r="D292" s="137">
        <f t="shared" si="85"/>
        <v>-16.125606977640537</v>
      </c>
      <c r="E292" s="132">
        <f t="shared" si="86"/>
        <v>10.864730081964439</v>
      </c>
      <c r="G292" s="146"/>
      <c r="H292" s="184" t="str">
        <f t="shared" si="87"/>
        <v>0.5-0.00416291411271382i</v>
      </c>
      <c r="I292" s="132" t="str">
        <f t="shared" si="88"/>
        <v>0.01-0.0208145705635691i</v>
      </c>
      <c r="J292" s="132" t="str">
        <f t="shared" si="89"/>
        <v>0.0106119797243851-0.0199683409058056i</v>
      </c>
      <c r="K292" s="132"/>
      <c r="L292" s="132" t="str">
        <f t="shared" si="90"/>
        <v>0.0108135615761712-0.0196602955283478i</v>
      </c>
      <c r="M292" s="132" t="str">
        <f t="shared" si="91"/>
        <v>0.009+3.60324512922066i</v>
      </c>
      <c r="N292" s="132" t="str">
        <f t="shared" si="92"/>
        <v>-0.00546935801242984-0.00304776628566075i</v>
      </c>
      <c r="O292" s="185">
        <f t="shared" si="93"/>
        <v>-44.066833960589918</v>
      </c>
      <c r="P292" s="185">
        <f t="shared" si="94"/>
        <v>-150.87152956502021</v>
      </c>
      <c r="Q292" s="132">
        <f t="shared" si="95"/>
        <v>1091892.4634001998</v>
      </c>
      <c r="R292" s="132">
        <f t="shared" si="106"/>
        <v>5.2399999999999762</v>
      </c>
      <c r="S292" s="164">
        <f t="shared" si="96"/>
        <v>-29.019880221212908</v>
      </c>
      <c r="T292" s="132" t="str">
        <f t="shared" si="97"/>
        <v>1+15.18604038097i</v>
      </c>
      <c r="U292" s="138">
        <f t="shared" si="98"/>
        <v>12.894273243572369</v>
      </c>
      <c r="V292" s="132">
        <f t="shared" si="99"/>
        <v>161.73625964698465</v>
      </c>
      <c r="W292" s="132">
        <f t="shared" si="100"/>
        <v>24.739819661077544</v>
      </c>
      <c r="X292" s="138">
        <f t="shared" si="101"/>
        <v>-90.006576165157455</v>
      </c>
      <c r="Y292" s="128" t="str">
        <f t="shared" si="102"/>
        <v>-0.00198080198006551-17.2580204865535i</v>
      </c>
      <c r="Z292" s="128" t="str">
        <f t="shared" si="103"/>
        <v>-76320.0920664199i</v>
      </c>
      <c r="AA292" s="128" t="str">
        <f t="shared" si="107"/>
        <v>64900-6300.82548157179i</v>
      </c>
      <c r="AB292" s="128" t="str">
        <f t="shared" si="108"/>
        <v>5900-11551.5133828816i</v>
      </c>
      <c r="AC292" s="128" t="str">
        <f t="shared" si="109"/>
        <v>45457.0812156569-30193.1314291941i</v>
      </c>
      <c r="AD292" s="128" t="str">
        <f t="shared" si="110"/>
        <v>6626.53552600977-10303.0194849537i</v>
      </c>
      <c r="AE292" s="128" t="str">
        <f t="shared" si="111"/>
        <v>-4.20029863466736-0.509972988322182i</v>
      </c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</row>
    <row r="293" spans="1:45" s="166" customFormat="1" x14ac:dyDescent="0.2">
      <c r="A293" s="132">
        <f t="shared" si="104"/>
        <v>16.940000000000001</v>
      </c>
      <c r="B293" s="132">
        <f t="shared" si="105"/>
        <v>5.2599999999999767</v>
      </c>
      <c r="C293" s="146">
        <f t="shared" si="84"/>
        <v>181970.08586098856</v>
      </c>
      <c r="D293" s="137">
        <f t="shared" si="85"/>
        <v>-16.940267421806155</v>
      </c>
      <c r="E293" s="132">
        <f t="shared" si="86"/>
        <v>8.8519722429341527</v>
      </c>
      <c r="G293" s="146"/>
      <c r="H293" s="184" t="str">
        <f t="shared" si="87"/>
        <v>0.5-0.00397555211388569i</v>
      </c>
      <c r="I293" s="132" t="str">
        <f t="shared" si="88"/>
        <v>0.01-0.0198777605694285i</v>
      </c>
      <c r="J293" s="132" t="str">
        <f t="shared" si="89"/>
        <v>0.0105410345612647-0.0190729357107013i</v>
      </c>
      <c r="K293" s="132"/>
      <c r="L293" s="132" t="str">
        <f t="shared" si="90"/>
        <v>0.0107189552604654-0.0187809620379248i</v>
      </c>
      <c r="M293" s="132" t="str">
        <f t="shared" si="91"/>
        <v>0.009+3.7730608404323i</v>
      </c>
      <c r="N293" s="132" t="str">
        <f t="shared" si="92"/>
        <v>-0.00498741327723698-0.00288132536468513i</v>
      </c>
      <c r="O293" s="185">
        <f t="shared" si="93"/>
        <v>-44.791716963098985</v>
      </c>
      <c r="P293" s="185">
        <f t="shared" si="94"/>
        <v>-149.98414066377387</v>
      </c>
      <c r="Q293" s="132">
        <f t="shared" si="95"/>
        <v>1143351.769827971</v>
      </c>
      <c r="R293" s="132">
        <f t="shared" si="106"/>
        <v>5.2599999999999758</v>
      </c>
      <c r="S293" s="164">
        <f t="shared" si="96"/>
        <v>-29.744763223721968</v>
      </c>
      <c r="T293" s="132" t="str">
        <f t="shared" si="97"/>
        <v>1+15.9017364147674i</v>
      </c>
      <c r="U293" s="138">
        <f t="shared" si="98"/>
        <v>12.804495801915813</v>
      </c>
      <c r="V293" s="132">
        <f t="shared" si="99"/>
        <v>158.83611290670802</v>
      </c>
      <c r="W293" s="132">
        <f t="shared" si="100"/>
        <v>24.339807015102764</v>
      </c>
      <c r="X293" s="138">
        <f t="shared" si="101"/>
        <v>-90.097991116581952</v>
      </c>
      <c r="Y293" s="128" t="str">
        <f t="shared" si="102"/>
        <v>-0.0281873477202347-16.4812336232251i</v>
      </c>
      <c r="Z293" s="128" t="str">
        <f t="shared" si="103"/>
        <v>-72885.1220879042i</v>
      </c>
      <c r="AA293" s="128" t="str">
        <f t="shared" si="107"/>
        <v>64900-6017.24162071599i</v>
      </c>
      <c r="AB293" s="128" t="str">
        <f t="shared" si="108"/>
        <v>5900-11031.6096379793i</v>
      </c>
      <c r="AC293" s="128" t="str">
        <f t="shared" si="109"/>
        <v>44507.7167711184-30535.9537177679i</v>
      </c>
      <c r="AD293" s="128" t="str">
        <f t="shared" si="110"/>
        <v>6536.9923879543-9847.83012896778i</v>
      </c>
      <c r="AE293" s="128" t="str">
        <f t="shared" si="111"/>
        <v>-4.28770542374333-0.326997177639155i</v>
      </c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</row>
    <row r="294" spans="1:45" s="166" customFormat="1" x14ac:dyDescent="0.2">
      <c r="A294" s="132">
        <f t="shared" si="104"/>
        <v>17.774000000000001</v>
      </c>
      <c r="B294" s="132">
        <f t="shared" si="105"/>
        <v>5.2799999999999754</v>
      </c>
      <c r="C294" s="146">
        <f t="shared" si="84"/>
        <v>190546.07179631409</v>
      </c>
      <c r="D294" s="137">
        <f t="shared" si="85"/>
        <v>-17.773746043022825</v>
      </c>
      <c r="E294" s="132">
        <f t="shared" si="86"/>
        <v>6.902489583579495</v>
      </c>
      <c r="G294" s="146"/>
      <c r="H294" s="184" t="str">
        <f t="shared" si="87"/>
        <v>0.5-0.0037966227941027i</v>
      </c>
      <c r="I294" s="132" t="str">
        <f t="shared" si="88"/>
        <v>0.01-0.0189831139705135i</v>
      </c>
      <c r="J294" s="132" t="str">
        <f t="shared" si="89"/>
        <v>0.0104763057459368-0.0182174033843916i</v>
      </c>
      <c r="K294" s="132"/>
      <c r="L294" s="132" t="str">
        <f t="shared" si="90"/>
        <v>0.0106326189470832-0.0179404951163243i</v>
      </c>
      <c r="M294" s="132" t="str">
        <f t="shared" si="91"/>
        <v>0.009+3.95087971954958i</v>
      </c>
      <c r="N294" s="132" t="str">
        <f t="shared" si="92"/>
        <v>-0.00454799121069308-0.00272618195035609i</v>
      </c>
      <c r="O294" s="185">
        <f t="shared" si="93"/>
        <v>-45.510419537735991</v>
      </c>
      <c r="P294" s="185">
        <f t="shared" si="94"/>
        <v>-149.06045244037128</v>
      </c>
      <c r="Q294" s="132">
        <f t="shared" si="95"/>
        <v>1197236.2786513872</v>
      </c>
      <c r="R294" s="132">
        <f t="shared" si="106"/>
        <v>5.2799999999999754</v>
      </c>
      <c r="S294" s="164">
        <f t="shared" si="96"/>
        <v>-30.463465798358978</v>
      </c>
      <c r="T294" s="132" t="str">
        <f t="shared" si="97"/>
        <v>1+16.6511621634835i</v>
      </c>
      <c r="U294" s="138">
        <f t="shared" si="98"/>
        <v>12.689719755336153</v>
      </c>
      <c r="V294" s="132">
        <f t="shared" si="99"/>
        <v>155.96294202395077</v>
      </c>
      <c r="W294" s="132">
        <f t="shared" si="100"/>
        <v>23.939772154332047</v>
      </c>
      <c r="X294" s="138">
        <f t="shared" si="101"/>
        <v>-90.189613419342749</v>
      </c>
      <c r="Y294" s="128" t="str">
        <f t="shared" si="102"/>
        <v>-0.0520875886494325-15.7393295787331i</v>
      </c>
      <c r="Z294" s="128" t="str">
        <f t="shared" si="103"/>
        <v>-69604.7512252163i</v>
      </c>
      <c r="AA294" s="128" t="str">
        <f t="shared" si="107"/>
        <v>64900-5746.42113608338i</v>
      </c>
      <c r="AB294" s="128" t="str">
        <f t="shared" si="108"/>
        <v>5900-10535.1054161529i</v>
      </c>
      <c r="AC294" s="128" t="str">
        <f t="shared" si="109"/>
        <v>43511.3169421704-30867.2720482879i</v>
      </c>
      <c r="AD294" s="128" t="str">
        <f t="shared" si="110"/>
        <v>6455.19271583852-9412.04020736738i</v>
      </c>
      <c r="AE294" s="128" t="str">
        <f t="shared" si="111"/>
        <v>-4.35679096663381-0.13026434041863i</v>
      </c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</row>
    <row r="295" spans="1:45" s="166" customFormat="1" x14ac:dyDescent="0.2">
      <c r="A295" s="132">
        <f t="shared" si="104"/>
        <v>18.625</v>
      </c>
      <c r="B295" s="132">
        <f t="shared" si="105"/>
        <v>5.2999999999999758</v>
      </c>
      <c r="C295" s="146">
        <f t="shared" si="84"/>
        <v>199526.2314968768</v>
      </c>
      <c r="D295" s="137">
        <f t="shared" si="85"/>
        <v>-18.624730191555443</v>
      </c>
      <c r="E295" s="132">
        <f t="shared" si="86"/>
        <v>5.0260514705532273</v>
      </c>
      <c r="G295" s="146"/>
      <c r="H295" s="184" t="str">
        <f t="shared" si="87"/>
        <v>0.5-0.00362574662028806i</v>
      </c>
      <c r="I295" s="132" t="str">
        <f t="shared" si="88"/>
        <v>0.01-0.0181287331014403i</v>
      </c>
      <c r="J295" s="132" t="str">
        <f t="shared" si="89"/>
        <v>0.0104172506784749-0.0174000042123176i</v>
      </c>
      <c r="K295" s="132"/>
      <c r="L295" s="132" t="str">
        <f t="shared" si="90"/>
        <v>0.0105538340643921-0.017137236466708i</v>
      </c>
      <c r="M295" s="132" t="str">
        <f t="shared" si="91"/>
        <v>0.009+4.13707894425569i</v>
      </c>
      <c r="N295" s="132" t="str">
        <f t="shared" si="92"/>
        <v>-0.00414733090286982-0.0025813302806132i</v>
      </c>
      <c r="O295" s="185">
        <f t="shared" si="93"/>
        <v>-46.222636818516492</v>
      </c>
      <c r="P295" s="185">
        <f t="shared" si="94"/>
        <v>-148.10155185472965</v>
      </c>
      <c r="Q295" s="132">
        <f t="shared" si="95"/>
        <v>1253660.2861380891</v>
      </c>
      <c r="R295" s="132">
        <f t="shared" si="106"/>
        <v>5.299999999999975</v>
      </c>
      <c r="S295" s="164">
        <f t="shared" si="96"/>
        <v>-31.175683079139482</v>
      </c>
      <c r="T295" s="132" t="str">
        <f t="shared" si="97"/>
        <v>1+17.4359072596085i</v>
      </c>
      <c r="U295" s="138">
        <f t="shared" si="98"/>
        <v>12.550952887584039</v>
      </c>
      <c r="V295" s="132">
        <f t="shared" si="99"/>
        <v>153.12760332528288</v>
      </c>
      <c r="W295" s="132">
        <f t="shared" si="100"/>
        <v>23.539714783370982</v>
      </c>
      <c r="X295" s="138">
        <f t="shared" si="101"/>
        <v>-90.281636939617769</v>
      </c>
      <c r="Y295" s="128" t="str">
        <f t="shared" si="102"/>
        <v>-0.0738840977637934-15.0307444969075i</v>
      </c>
      <c r="Z295" s="128" t="str">
        <f t="shared" si="103"/>
        <v>-66472.0213719477i</v>
      </c>
      <c r="AA295" s="128" t="str">
        <f t="shared" si="107"/>
        <v>64900-5487.78958111651i</v>
      </c>
      <c r="AB295" s="128" t="str">
        <f t="shared" si="108"/>
        <v>5900-10060.9475653803i</v>
      </c>
      <c r="AC295" s="128" t="str">
        <f t="shared" si="109"/>
        <v>42468.8346828742-31182.2457991517i</v>
      </c>
      <c r="AD295" s="128" t="str">
        <f t="shared" si="110"/>
        <v>6380.47767299659-8994.91441658094i</v>
      </c>
      <c r="AE295" s="128" t="str">
        <f t="shared" si="111"/>
        <v>-4.40514874881542+0.077855332778102i</v>
      </c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</row>
    <row r="296" spans="1:45" s="166" customFormat="1" x14ac:dyDescent="0.2">
      <c r="A296" s="132">
        <f t="shared" si="104"/>
        <v>19.492000000000001</v>
      </c>
      <c r="B296" s="132">
        <f t="shared" si="105"/>
        <v>5.3199999999999745</v>
      </c>
      <c r="C296" s="146">
        <f t="shared" si="84"/>
        <v>208929.61308539184</v>
      </c>
      <c r="D296" s="137">
        <f t="shared" si="85"/>
        <v>-19.49174166762122</v>
      </c>
      <c r="E296" s="132">
        <f t="shared" si="86"/>
        <v>3.2309736293889273</v>
      </c>
      <c r="G296" s="146"/>
      <c r="H296" s="184" t="str">
        <f t="shared" si="87"/>
        <v>0.5-0.00346256114116739i</v>
      </c>
      <c r="I296" s="132" t="str">
        <f t="shared" si="88"/>
        <v>0.01-0.0173128057058369i</v>
      </c>
      <c r="J296" s="132" t="str">
        <f t="shared" si="89"/>
        <v>0.0103633737694715-0.0166190697499936i</v>
      </c>
      <c r="K296" s="132"/>
      <c r="L296" s="132" t="str">
        <f t="shared" si="90"/>
        <v>0.0104819437463678-0.0163695908148916i</v>
      </c>
      <c r="M296" s="132" t="str">
        <f t="shared" si="91"/>
        <v>0.009+4.3320534680704i</v>
      </c>
      <c r="N296" s="132" t="str">
        <f t="shared" si="92"/>
        <v>-0.00378200555792583-0.00244587529256393i</v>
      </c>
      <c r="O296" s="185">
        <f t="shared" si="93"/>
        <v>-46.928063194368931</v>
      </c>
      <c r="P296" s="185">
        <f t="shared" si="94"/>
        <v>-147.10869243702692</v>
      </c>
      <c r="Q296" s="132">
        <f t="shared" si="95"/>
        <v>1312743.4751728498</v>
      </c>
      <c r="R296" s="132">
        <f t="shared" si="106"/>
        <v>5.3199999999999745</v>
      </c>
      <c r="S296" s="164">
        <f t="shared" si="96"/>
        <v>-31.881109454991908</v>
      </c>
      <c r="T296" s="132" t="str">
        <f t="shared" si="97"/>
        <v>1+18.257636252704i</v>
      </c>
      <c r="U296" s="138">
        <f t="shared" si="98"/>
        <v>12.389367787370688</v>
      </c>
      <c r="V296" s="132">
        <f t="shared" si="99"/>
        <v>150.33966606641584</v>
      </c>
      <c r="W296" s="132">
        <f t="shared" si="100"/>
        <v>23.13963441609987</v>
      </c>
      <c r="X296" s="138">
        <f t="shared" si="101"/>
        <v>-90.374256375955824</v>
      </c>
      <c r="Y296" s="128" t="str">
        <f t="shared" si="102"/>
        <v>-0.0937616427744958-14.3539839304383i</v>
      </c>
      <c r="Z296" s="128" t="str">
        <f t="shared" si="103"/>
        <v>-63480.2875880688i</v>
      </c>
      <c r="AA296" s="128" t="str">
        <f t="shared" si="107"/>
        <v>64900-5240.79836361197i</v>
      </c>
      <c r="AB296" s="128" t="str">
        <f t="shared" si="108"/>
        <v>5900-9608.13033328859i</v>
      </c>
      <c r="AC296" s="128" t="str">
        <f t="shared" si="109"/>
        <v>41381.720923926-31476.0192677066i</v>
      </c>
      <c r="AD296" s="128" t="str">
        <f t="shared" si="110"/>
        <v>6312.2426712726-8595.73327334605i</v>
      </c>
      <c r="AE296" s="128" t="str">
        <f t="shared" si="111"/>
        <v>-4.43078267817489+0.294481604908817i</v>
      </c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</row>
    <row r="297" spans="1:45" s="166" customFormat="1" x14ac:dyDescent="0.2">
      <c r="A297" s="132">
        <f t="shared" si="104"/>
        <v>20.373000000000001</v>
      </c>
      <c r="B297" s="132">
        <f t="shared" si="105"/>
        <v>5.339999999999975</v>
      </c>
      <c r="C297" s="146">
        <f t="shared" si="84"/>
        <v>218776.16239494254</v>
      </c>
      <c r="D297" s="137">
        <f t="shared" si="85"/>
        <v>-20.373180986205053</v>
      </c>
      <c r="E297" s="132">
        <f t="shared" si="86"/>
        <v>1.52400776456318</v>
      </c>
      <c r="G297" s="146"/>
      <c r="H297" s="184" t="str">
        <f t="shared" si="87"/>
        <v>0.5-0.00330672021846078i</v>
      </c>
      <c r="I297" s="132" t="str">
        <f t="shared" si="88"/>
        <v>0.01-0.0165336010923039i</v>
      </c>
      <c r="J297" s="132" t="str">
        <f t="shared" si="89"/>
        <v>0.0103142224261105-0.0158730005124154i</v>
      </c>
      <c r="K297" s="132"/>
      <c r="L297" s="132" t="str">
        <f t="shared" si="90"/>
        <v>0.0104163476566715-0.0156360245452745i</v>
      </c>
      <c r="M297" s="132" t="str">
        <f t="shared" si="91"/>
        <v>0.009+4.53621685809943i</v>
      </c>
      <c r="N297" s="132" t="str">
        <f t="shared" si="92"/>
        <v>-0.00344889257408462-0.00231901893582075i</v>
      </c>
      <c r="O297" s="185">
        <f t="shared" si="93"/>
        <v>-47.62639548363623</v>
      </c>
      <c r="P297" s="185">
        <f t="shared" si="94"/>
        <v>-146.08330166544664</v>
      </c>
      <c r="Q297" s="132">
        <f t="shared" si="95"/>
        <v>1374611.1691210382</v>
      </c>
      <c r="R297" s="132">
        <f t="shared" si="106"/>
        <v>5.3399999999999741</v>
      </c>
      <c r="S297" s="164">
        <f t="shared" si="96"/>
        <v>-32.579441744259213</v>
      </c>
      <c r="T297" s="132" t="str">
        <f t="shared" si="97"/>
        <v>1+19.1180921401354i</v>
      </c>
      <c r="U297" s="138">
        <f t="shared" si="98"/>
        <v>12.20626075805416</v>
      </c>
      <c r="V297" s="132">
        <f t="shared" si="99"/>
        <v>147.60730943000982</v>
      </c>
      <c r="W297" s="132">
        <f t="shared" si="100"/>
        <v>22.739530371577192</v>
      </c>
      <c r="X297" s="138">
        <f t="shared" si="101"/>
        <v>-90.467667662799414</v>
      </c>
      <c r="Y297" s="128" t="str">
        <f t="shared" si="102"/>
        <v>-0.111888745647366-13.7076198341836i</v>
      </c>
      <c r="Z297" s="128" t="str">
        <f t="shared" si="103"/>
        <v>-60623.2040051141i</v>
      </c>
      <c r="AA297" s="128" t="str">
        <f t="shared" si="107"/>
        <v>64900-5004.92358208269i</v>
      </c>
      <c r="AB297" s="128" t="str">
        <f t="shared" si="108"/>
        <v>5900-9175.69323381827i</v>
      </c>
      <c r="AC297" s="128" t="str">
        <f t="shared" si="109"/>
        <v>40251.947016424-31743.7875352032i</v>
      </c>
      <c r="AD297" s="128" t="str">
        <f t="shared" si="110"/>
        <v>6249.93320862925-8213.79452860893i</v>
      </c>
      <c r="AE297" s="128" t="str">
        <f t="shared" si="111"/>
        <v>-4.43223481930494+0.516315422931155i</v>
      </c>
      <c r="AF297" s="130"/>
      <c r="AG297" s="130"/>
      <c r="AH297" s="130"/>
      <c r="AI297" s="130"/>
      <c r="AJ297" s="130"/>
      <c r="AK297" s="130"/>
      <c r="AL297" s="130"/>
      <c r="AM297" s="130"/>
      <c r="AN297" s="130"/>
      <c r="AO297" s="130"/>
      <c r="AP297" s="130"/>
      <c r="AQ297" s="130"/>
      <c r="AR297" s="130"/>
      <c r="AS297" s="130"/>
    </row>
    <row r="298" spans="1:45" s="166" customFormat="1" x14ac:dyDescent="0.2">
      <c r="A298" s="132">
        <f t="shared" si="104"/>
        <v>21.266999999999999</v>
      </c>
      <c r="B298" s="132">
        <f t="shared" si="105"/>
        <v>5.3599999999999737</v>
      </c>
      <c r="C298" s="146">
        <f t="shared" si="84"/>
        <v>229086.76527676353</v>
      </c>
      <c r="D298" s="137">
        <f t="shared" si="85"/>
        <v>-21.267371761538548</v>
      </c>
      <c r="E298" s="132">
        <f t="shared" si="86"/>
        <v>-8.9703060758921538E-2</v>
      </c>
      <c r="G298" s="146"/>
      <c r="H298" s="184" t="str">
        <f t="shared" si="87"/>
        <v>0.5-0.00315789329267723i</v>
      </c>
      <c r="I298" s="132" t="str">
        <f t="shared" si="88"/>
        <v>0.01-0.0157894664633862i</v>
      </c>
      <c r="J298" s="132" t="str">
        <f t="shared" si="89"/>
        <v>0.0102693833709899-0.0151602636537584i</v>
      </c>
      <c r="K298" s="132"/>
      <c r="L298" s="132" t="str">
        <f t="shared" si="90"/>
        <v>0.0103564972260721-0.0149350642134861i</v>
      </c>
      <c r="M298" s="132" t="str">
        <f t="shared" si="91"/>
        <v>0.009+4.75000217226566i</v>
      </c>
      <c r="N298" s="132" t="str">
        <f t="shared" si="92"/>
        <v>-0.0031451463401119-0.00220004827909723i</v>
      </c>
      <c r="O298" s="185">
        <f t="shared" si="93"/>
        <v>-48.317336340861957</v>
      </c>
      <c r="P298" s="185">
        <f t="shared" si="94"/>
        <v>-145.02698584698672</v>
      </c>
      <c r="Q298" s="132">
        <f t="shared" si="95"/>
        <v>1439394.5976562593</v>
      </c>
      <c r="R298" s="132">
        <f t="shared" si="106"/>
        <v>5.3599999999999737</v>
      </c>
      <c r="S298" s="164">
        <f t="shared" si="96"/>
        <v>-33.270382601484947</v>
      </c>
      <c r="T298" s="132" t="str">
        <f t="shared" si="97"/>
        <v>1+20.0191000642033i</v>
      </c>
      <c r="U298" s="138">
        <f t="shared" si="98"/>
        <v>12.003010839946398</v>
      </c>
      <c r="V298" s="132">
        <f t="shared" si="99"/>
        <v>144.9372827862278</v>
      </c>
      <c r="W298" s="132">
        <f t="shared" si="100"/>
        <v>22.339401768303738</v>
      </c>
      <c r="X298" s="138">
        <f t="shared" si="101"/>
        <v>-90.562068376093791</v>
      </c>
      <c r="Y298" s="128" t="str">
        <f t="shared" si="102"/>
        <v>-0.128419105740309-13.0902876783334i</v>
      </c>
      <c r="Z298" s="128" t="str">
        <f t="shared" si="103"/>
        <v>-57894.7103657493i</v>
      </c>
      <c r="AA298" s="128" t="str">
        <f t="shared" si="107"/>
        <v>64900-4779.66491449285i</v>
      </c>
      <c r="AB298" s="128" t="str">
        <f t="shared" si="108"/>
        <v>5900-8762.71900990357i</v>
      </c>
      <c r="AC298" s="128" t="str">
        <f t="shared" si="109"/>
        <v>39082.0167946973-31980.868687882i</v>
      </c>
      <c r="AD298" s="128" t="str">
        <f t="shared" si="110"/>
        <v>6193.04097385972-7848.41426418154i</v>
      </c>
      <c r="AE298" s="128" t="str">
        <f t="shared" si="111"/>
        <v>-4.40868735727992+0.73976703326384i</v>
      </c>
      <c r="AF298" s="130"/>
      <c r="AG298" s="130"/>
      <c r="AH298" s="130"/>
      <c r="AI298" s="130"/>
      <c r="AJ298" s="130"/>
      <c r="AK298" s="130"/>
      <c r="AL298" s="130"/>
      <c r="AM298" s="130"/>
      <c r="AN298" s="130"/>
      <c r="AO298" s="130"/>
      <c r="AP298" s="130"/>
      <c r="AQ298" s="130"/>
      <c r="AR298" s="130"/>
      <c r="AS298" s="130"/>
    </row>
    <row r="299" spans="1:45" s="166" customFormat="1" x14ac:dyDescent="0.2">
      <c r="A299" s="132">
        <f t="shared" si="104"/>
        <v>22.172999999999998</v>
      </c>
      <c r="B299" s="132">
        <f t="shared" si="105"/>
        <v>5.3799999999999741</v>
      </c>
      <c r="C299" s="146">
        <f t="shared" si="84"/>
        <v>239883.2919019346</v>
      </c>
      <c r="D299" s="137">
        <f t="shared" si="85"/>
        <v>-22.172602894380816</v>
      </c>
      <c r="E299" s="132">
        <f t="shared" si="86"/>
        <v>-1.6066097434981828</v>
      </c>
      <c r="G299" s="146"/>
      <c r="H299" s="184" t="str">
        <f t="shared" si="87"/>
        <v>0.5-0.00301576468195357i</v>
      </c>
      <c r="I299" s="132" t="str">
        <f t="shared" si="88"/>
        <v>0.01-0.0150788234097679i</v>
      </c>
      <c r="J299" s="132" t="str">
        <f t="shared" si="89"/>
        <v>0.0102284792678107-0.0144793906520544i</v>
      </c>
      <c r="K299" s="132"/>
      <c r="L299" s="132" t="str">
        <f t="shared" si="90"/>
        <v>0.0103018912737879-0.0142652949640464i</v>
      </c>
      <c r="M299" s="132" t="str">
        <f t="shared" si="91"/>
        <v>0.009+4.97386287788315i</v>
      </c>
      <c r="N299" s="132" t="str">
        <f t="shared" si="92"/>
        <v>-0.00286817349611883-0.00208832516622615i</v>
      </c>
      <c r="O299" s="185">
        <f t="shared" si="93"/>
        <v>-49.00059784866842</v>
      </c>
      <c r="P299" s="185">
        <f t="shared" si="94"/>
        <v>-143.94153213705209</v>
      </c>
      <c r="Q299" s="132">
        <f t="shared" si="95"/>
        <v>1507231.1751161073</v>
      </c>
      <c r="R299" s="132">
        <f t="shared" si="106"/>
        <v>5.3799999999999732</v>
      </c>
      <c r="S299" s="164">
        <f t="shared" si="96"/>
        <v>-33.95364410929141</v>
      </c>
      <c r="T299" s="132" t="str">
        <f t="shared" si="97"/>
        <v>1+20.9625711835148i</v>
      </c>
      <c r="U299" s="138">
        <f t="shared" si="98"/>
        <v>11.781041214910593</v>
      </c>
      <c r="V299" s="132">
        <f t="shared" si="99"/>
        <v>142.33492239355391</v>
      </c>
      <c r="W299" s="132">
        <f t="shared" si="100"/>
        <v>21.939247516798289</v>
      </c>
      <c r="X299" s="138">
        <f t="shared" si="101"/>
        <v>-90.657658141652959</v>
      </c>
      <c r="Y299" s="128" t="str">
        <f t="shared" si="102"/>
        <v>-0.143492898366739-12.5006836780072i</v>
      </c>
      <c r="Z299" s="128" t="str">
        <f t="shared" si="103"/>
        <v>-55289.0191691489i</v>
      </c>
      <c r="AA299" s="128" t="str">
        <f t="shared" si="107"/>
        <v>64900-4564.54455700745i</v>
      </c>
      <c r="AB299" s="128" t="str">
        <f t="shared" si="108"/>
        <v>5900-8368.33168784699i</v>
      </c>
      <c r="AC299" s="128" t="str">
        <f t="shared" si="109"/>
        <v>37874.9666118959-32182.7805850968i</v>
      </c>
      <c r="AD299" s="128" t="str">
        <f t="shared" si="110"/>
        <v>6141.1002107207-7498.92771502633i</v>
      </c>
      <c r="AE299" s="128" t="str">
        <f t="shared" si="111"/>
        <v>-4.36002681256525+0.961111953901522i</v>
      </c>
      <c r="AF299" s="130"/>
      <c r="AG299" s="130"/>
      <c r="AH299" s="130"/>
      <c r="AI299" s="130"/>
      <c r="AJ299" s="130"/>
      <c r="AK299" s="130"/>
      <c r="AL299" s="130"/>
      <c r="AM299" s="130"/>
      <c r="AN299" s="130"/>
      <c r="AO299" s="130"/>
      <c r="AP299" s="130"/>
      <c r="AQ299" s="130"/>
      <c r="AR299" s="130"/>
      <c r="AS299" s="130"/>
    </row>
    <row r="300" spans="1:45" s="166" customFormat="1" x14ac:dyDescent="0.2">
      <c r="A300" s="132">
        <f t="shared" si="104"/>
        <v>23.087</v>
      </c>
      <c r="B300" s="132">
        <f t="shared" si="105"/>
        <v>5.3999999999999728</v>
      </c>
      <c r="C300" s="146">
        <f t="shared" si="84"/>
        <v>251188.64315094237</v>
      </c>
      <c r="D300" s="137">
        <f t="shared" si="85"/>
        <v>-23.087166806536999</v>
      </c>
      <c r="E300" s="132">
        <f t="shared" si="86"/>
        <v>-3.0246927837576152</v>
      </c>
      <c r="G300" s="146"/>
      <c r="H300" s="184" t="str">
        <f t="shared" si="87"/>
        <v>0.5-0.00288003291245097i</v>
      </c>
      <c r="I300" s="132" t="str">
        <f t="shared" si="88"/>
        <v>0.01-0.0144001645622548i</v>
      </c>
      <c r="J300" s="132" t="str">
        <f t="shared" si="89"/>
        <v>0.0101911656297666-0.0138289750111218i</v>
      </c>
      <c r="K300" s="132"/>
      <c r="L300" s="132" t="str">
        <f t="shared" si="90"/>
        <v>0.0102520719847728-0.013625358877348i</v>
      </c>
      <c r="M300" s="132" t="str">
        <f t="shared" si="91"/>
        <v>0.009+5.20827381352204i</v>
      </c>
      <c r="N300" s="132" t="str">
        <f t="shared" si="92"/>
        <v>-0.00261561043068195-0.00198327721211947i</v>
      </c>
      <c r="O300" s="185">
        <f t="shared" si="93"/>
        <v>-49.675905234150861</v>
      </c>
      <c r="P300" s="185">
        <f t="shared" si="94"/>
        <v>-142.82890737606903</v>
      </c>
      <c r="Q300" s="132">
        <f t="shared" si="95"/>
        <v>1578264.7919763774</v>
      </c>
      <c r="R300" s="132">
        <f t="shared" si="106"/>
        <v>5.3999999999999728</v>
      </c>
      <c r="S300" s="164">
        <f t="shared" si="96"/>
        <v>-34.628951494773844</v>
      </c>
      <c r="T300" s="132" t="str">
        <f t="shared" si="97"/>
        <v>1+21.9505067268075i</v>
      </c>
      <c r="U300" s="138">
        <f t="shared" si="98"/>
        <v>11.541784688236845</v>
      </c>
      <c r="V300" s="132">
        <f t="shared" si="99"/>
        <v>139.80421459231141</v>
      </c>
      <c r="W300" s="132">
        <f t="shared" si="100"/>
        <v>21.539066310424925</v>
      </c>
      <c r="X300" s="138">
        <f t="shared" si="101"/>
        <v>-90.754639046944547</v>
      </c>
      <c r="Y300" s="128" t="str">
        <f t="shared" si="102"/>
        <v>-0.157237959598168-11.9375621357686i</v>
      </c>
      <c r="Z300" s="128" t="str">
        <f t="shared" si="103"/>
        <v>-52800.6033949345i</v>
      </c>
      <c r="AA300" s="128" t="str">
        <f t="shared" si="107"/>
        <v>64900-4359.10621050662i</v>
      </c>
      <c r="AB300" s="128" t="str">
        <f t="shared" si="108"/>
        <v>5900-7991.69471926211i</v>
      </c>
      <c r="AC300" s="128" t="str">
        <f t="shared" si="109"/>
        <v>36634.3520520166-32345.3199210536i</v>
      </c>
      <c r="AD300" s="128" t="str">
        <f t="shared" si="110"/>
        <v>6093.68433202101-7164.68985523528i</v>
      </c>
      <c r="AE300" s="128" t="str">
        <f t="shared" si="111"/>
        <v>-4.28686232031734+1.17666152871391i</v>
      </c>
      <c r="AF300" s="130"/>
      <c r="AG300" s="130"/>
      <c r="AH300" s="130"/>
      <c r="AI300" s="130"/>
      <c r="AJ300" s="130"/>
      <c r="AK300" s="130"/>
      <c r="AL300" s="130"/>
      <c r="AM300" s="130"/>
      <c r="AN300" s="130"/>
      <c r="AO300" s="130"/>
      <c r="AP300" s="130"/>
      <c r="AQ300" s="130"/>
      <c r="AR300" s="130"/>
      <c r="AS300" s="130"/>
    </row>
    <row r="301" spans="1:45" s="166" customFormat="1" x14ac:dyDescent="0.2">
      <c r="A301" s="132">
        <f t="shared" si="104"/>
        <v>24.009</v>
      </c>
      <c r="B301" s="132">
        <f t="shared" si="105"/>
        <v>5.4199999999999733</v>
      </c>
      <c r="C301" s="146">
        <f t="shared" si="84"/>
        <v>263026.79918952176</v>
      </c>
      <c r="D301" s="137">
        <f t="shared" si="85"/>
        <v>-24.009392578401552</v>
      </c>
      <c r="E301" s="132">
        <f t="shared" si="86"/>
        <v>-4.3433594537675049</v>
      </c>
      <c r="G301" s="146"/>
      <c r="H301" s="184" t="str">
        <f t="shared" si="87"/>
        <v>0.5-0.0027504100788884i</v>
      </c>
      <c r="I301" s="132" t="str">
        <f t="shared" si="88"/>
        <v>0.01-0.013752050394442i</v>
      </c>
      <c r="J301" s="132" t="str">
        <f t="shared" si="89"/>
        <v>0.0101571279881242-0.013207669989928i</v>
      </c>
      <c r="K301" s="132"/>
      <c r="L301" s="132" t="str">
        <f t="shared" si="90"/>
        <v>0.010206621216486-0.0130139532667635i</v>
      </c>
      <c r="M301" s="132" t="str">
        <f t="shared" si="91"/>
        <v>0.009+5.45373219620486i</v>
      </c>
      <c r="N301" s="132" t="str">
        <f t="shared" si="92"/>
        <v>-0.00238530280803481-0.00188438995849747i</v>
      </c>
      <c r="O301" s="185">
        <f t="shared" si="93"/>
        <v>-50.34300063667601</v>
      </c>
      <c r="P301" s="185">
        <f t="shared" si="94"/>
        <v>-141.69125348578191</v>
      </c>
      <c r="Q301" s="132">
        <f t="shared" si="95"/>
        <v>1652646.1200620786</v>
      </c>
      <c r="R301" s="132">
        <f t="shared" si="106"/>
        <v>5.4199999999999724</v>
      </c>
      <c r="S301" s="164">
        <f t="shared" si="96"/>
        <v>-35.296046897298993</v>
      </c>
      <c r="T301" s="132" t="str">
        <f t="shared" si="97"/>
        <v>1+22.9850022378234i</v>
      </c>
      <c r="U301" s="138">
        <f t="shared" si="98"/>
        <v>11.28665431889744</v>
      </c>
      <c r="V301" s="132">
        <f t="shared" si="99"/>
        <v>137.34789403201441</v>
      </c>
      <c r="W301" s="132">
        <f t="shared" si="100"/>
        <v>21.138856614396445</v>
      </c>
      <c r="X301" s="138">
        <f t="shared" si="101"/>
        <v>-90.853216056946451</v>
      </c>
      <c r="Y301" s="128" t="str">
        <f t="shared" si="102"/>
        <v>-0.16977086718889-11.3997328934755i</v>
      </c>
      <c r="Z301" s="128" t="str">
        <f t="shared" si="103"/>
        <v>-50424.1847796207i</v>
      </c>
      <c r="AA301" s="128" t="str">
        <f t="shared" si="107"/>
        <v>64900-4162.91411271381i</v>
      </c>
      <c r="AB301" s="128" t="str">
        <f t="shared" si="108"/>
        <v>5900-7632.00920664199i</v>
      </c>
      <c r="AC301" s="128" t="str">
        <f t="shared" si="109"/>
        <v>35364.2204995348-32464.6409572625i</v>
      </c>
      <c r="AD301" s="128" t="str">
        <f t="shared" si="110"/>
        <v>6050.40277294018-6845.07578139471i</v>
      </c>
      <c r="AE301" s="128" t="str">
        <f t="shared" si="111"/>
        <v>-4.19049515829863+1.38293237315541i</v>
      </c>
      <c r="AF301" s="130"/>
      <c r="AG301" s="130"/>
      <c r="AH301" s="130"/>
      <c r="AI301" s="130"/>
      <c r="AJ301" s="130"/>
      <c r="AK301" s="130"/>
      <c r="AL301" s="130"/>
      <c r="AM301" s="130"/>
      <c r="AN301" s="130"/>
      <c r="AO301" s="130"/>
      <c r="AP301" s="130"/>
      <c r="AQ301" s="130"/>
      <c r="AR301" s="130"/>
      <c r="AS301" s="130"/>
    </row>
    <row r="302" spans="1:45" s="166" customFormat="1" x14ac:dyDescent="0.2">
      <c r="A302" s="132">
        <f t="shared" si="104"/>
        <v>24.937999999999999</v>
      </c>
      <c r="B302" s="132">
        <f t="shared" si="105"/>
        <v>5.4399999999999729</v>
      </c>
      <c r="C302" s="146">
        <f t="shared" si="84"/>
        <v>275422.87033379939</v>
      </c>
      <c r="D302" s="137">
        <f t="shared" si="85"/>
        <v>-24.937673420307185</v>
      </c>
      <c r="E302" s="132">
        <f t="shared" si="86"/>
        <v>-5.5633138736675676</v>
      </c>
      <c r="G302" s="146"/>
      <c r="H302" s="184" t="str">
        <f t="shared" si="87"/>
        <v>0.5-0.00262662123385706i</v>
      </c>
      <c r="I302" s="132" t="str">
        <f t="shared" si="88"/>
        <v>0.01-0.0131331061692853i</v>
      </c>
      <c r="J302" s="132" t="str">
        <f t="shared" si="89"/>
        <v>0.0101260793000732-0.012614186367744i</v>
      </c>
      <c r="K302" s="132"/>
      <c r="L302" s="132" t="str">
        <f t="shared" si="90"/>
        <v>0.010165157110208-0.0124298289436085i</v>
      </c>
      <c r="M302" s="132" t="str">
        <f t="shared" si="91"/>
        <v>0.009+5.71075867607044i</v>
      </c>
      <c r="N302" s="132" t="str">
        <f t="shared" si="92"/>
        <v>-0.00217528693869366-0.00179120003425114i</v>
      </c>
      <c r="O302" s="185">
        <f t="shared" si="93"/>
        <v>-51.00164684316843</v>
      </c>
      <c r="P302" s="185">
        <f t="shared" si="94"/>
        <v>-140.5308792538666</v>
      </c>
      <c r="Q302" s="132">
        <f t="shared" si="95"/>
        <v>1730532.9321425566</v>
      </c>
      <c r="R302" s="132">
        <f t="shared" si="106"/>
        <v>5.439999999999972</v>
      </c>
      <c r="S302" s="164">
        <f t="shared" si="96"/>
        <v>-35.954693103791406</v>
      </c>
      <c r="T302" s="132" t="str">
        <f t="shared" si="97"/>
        <v>1+24.0682520202387i</v>
      </c>
      <c r="U302" s="138">
        <f t="shared" si="98"/>
        <v>11.017019683484222</v>
      </c>
      <c r="V302" s="132">
        <f t="shared" si="99"/>
        <v>134.96756538019903</v>
      </c>
      <c r="W302" s="132">
        <f t="shared" si="100"/>
        <v>20.738616652863982</v>
      </c>
      <c r="X302" s="138">
        <f t="shared" si="101"/>
        <v>-90.953597434713998</v>
      </c>
      <c r="Y302" s="128" t="str">
        <f t="shared" si="102"/>
        <v>-0.18119792665339-10.8860588898532i</v>
      </c>
      <c r="Z302" s="128" t="str">
        <f t="shared" si="103"/>
        <v>-48154.7226207126i</v>
      </c>
      <c r="AA302" s="128" t="str">
        <f t="shared" si="107"/>
        <v>64900-3975.55211388569i</v>
      </c>
      <c r="AB302" s="128" t="str">
        <f t="shared" si="108"/>
        <v>5900-7288.51220879042i</v>
      </c>
      <c r="AC302" s="128" t="str">
        <f t="shared" si="109"/>
        <v>34069.0693351066-32537.3310474755i</v>
      </c>
      <c r="AD302" s="128" t="str">
        <f t="shared" si="110"/>
        <v>6010.89807201822-6539.48092306511i</v>
      </c>
      <c r="AE302" s="128" t="str">
        <f t="shared" si="111"/>
        <v>-4.07284268462119+1.57679901214938i</v>
      </c>
      <c r="AF302" s="130"/>
      <c r="AG302" s="130"/>
      <c r="AH302" s="130"/>
      <c r="AI302" s="130"/>
      <c r="AJ302" s="130"/>
      <c r="AK302" s="130"/>
      <c r="AL302" s="130"/>
      <c r="AM302" s="130"/>
      <c r="AN302" s="130"/>
      <c r="AO302" s="130"/>
      <c r="AP302" s="130"/>
      <c r="AQ302" s="130"/>
      <c r="AR302" s="130"/>
      <c r="AS302" s="130"/>
    </row>
    <row r="303" spans="1:45" s="166" customFormat="1" x14ac:dyDescent="0.2">
      <c r="A303" s="132">
        <f t="shared" si="104"/>
        <v>25.87</v>
      </c>
      <c r="B303" s="132">
        <f t="shared" si="105"/>
        <v>5.4599999999999715</v>
      </c>
      <c r="C303" s="146">
        <f t="shared" si="84"/>
        <v>288403.15031264198</v>
      </c>
      <c r="D303" s="137">
        <f t="shared" si="85"/>
        <v>-25.870488389502015</v>
      </c>
      <c r="E303" s="132">
        <f t="shared" si="86"/>
        <v>-6.6864105064460375</v>
      </c>
      <c r="G303" s="146"/>
      <c r="H303" s="184" t="str">
        <f t="shared" si="87"/>
        <v>0.5-0.00250840380461996i</v>
      </c>
      <c r="I303" s="132" t="str">
        <f t="shared" si="88"/>
        <v>0.01-0.0125420190230998i</v>
      </c>
      <c r="J303" s="132" t="str">
        <f t="shared" si="89"/>
        <v>0.010097757576439-0.0120472902518802i</v>
      </c>
      <c r="K303" s="132"/>
      <c r="L303" s="132" t="str">
        <f t="shared" si="90"/>
        <v>0.0101273309834981-0.0118717884650103i</v>
      </c>
      <c r="M303" s="132" t="str">
        <f t="shared" si="91"/>
        <v>0.009+5.9798984407427i</v>
      </c>
      <c r="N303" s="132" t="str">
        <f t="shared" si="92"/>
        <v>-0.00198377282454943-0.00170328918672469i</v>
      </c>
      <c r="O303" s="185">
        <f t="shared" si="93"/>
        <v>-51.651630898791964</v>
      </c>
      <c r="P303" s="185">
        <f t="shared" si="94"/>
        <v>-139.35024844090512</v>
      </c>
      <c r="Q303" s="132">
        <f t="shared" si="95"/>
        <v>1812090.4365886978</v>
      </c>
      <c r="R303" s="132">
        <f t="shared" si="106"/>
        <v>5.4599999999999715</v>
      </c>
      <c r="S303" s="164">
        <f t="shared" si="96"/>
        <v>-36.604677159414948</v>
      </c>
      <c r="T303" s="132" t="str">
        <f t="shared" si="97"/>
        <v>1+25.2025537920756i</v>
      </c>
      <c r="U303" s="138">
        <f t="shared" si="98"/>
        <v>10.734188769912931</v>
      </c>
      <c r="V303" s="132">
        <f t="shared" si="99"/>
        <v>132.66383793445908</v>
      </c>
      <c r="W303" s="132">
        <f t="shared" si="100"/>
        <v>20.338344393985931</v>
      </c>
      <c r="X303" s="138">
        <f t="shared" si="101"/>
        <v>-91.055995167281026</v>
      </c>
      <c r="Y303" s="128" t="str">
        <f t="shared" si="102"/>
        <v>-0.191616070746538-10.3954538201712i</v>
      </c>
      <c r="Z303" s="128" t="str">
        <f t="shared" si="103"/>
        <v>-45987.4030846992i</v>
      </c>
      <c r="AA303" s="128" t="str">
        <f t="shared" si="107"/>
        <v>64900-3796.6227941027i</v>
      </c>
      <c r="AB303" s="128" t="str">
        <f t="shared" si="108"/>
        <v>5900-6960.47512252163i</v>
      </c>
      <c r="AC303" s="128" t="str">
        <f t="shared" si="109"/>
        <v>32753.790192138-32560.4799703099i</v>
      </c>
      <c r="AD303" s="128" t="str">
        <f t="shared" si="110"/>
        <v>5974.84316776899-6247.32110653283i</v>
      </c>
      <c r="AE303" s="128" t="str">
        <f t="shared" si="111"/>
        <v>-3.93632527772702+1.75561643878005i</v>
      </c>
      <c r="AF303" s="130"/>
      <c r="AG303" s="130"/>
      <c r="AH303" s="130"/>
      <c r="AI303" s="130"/>
      <c r="AJ303" s="130"/>
      <c r="AK303" s="130"/>
      <c r="AL303" s="130"/>
      <c r="AM303" s="130"/>
      <c r="AN303" s="130"/>
      <c r="AO303" s="130"/>
      <c r="AP303" s="130"/>
      <c r="AQ303" s="130"/>
      <c r="AR303" s="130"/>
      <c r="AS303" s="130"/>
    </row>
    <row r="304" spans="1:45" s="166" customFormat="1" x14ac:dyDescent="0.2">
      <c r="A304" s="132">
        <f t="shared" si="104"/>
        <v>26.806000000000001</v>
      </c>
      <c r="B304" s="132">
        <f t="shared" si="105"/>
        <v>5.479999999999972</v>
      </c>
      <c r="C304" s="146">
        <f t="shared" si="84"/>
        <v>301995.17204018205</v>
      </c>
      <c r="D304" s="137">
        <f t="shared" si="85"/>
        <v>-26.806418624205325</v>
      </c>
      <c r="E304" s="132">
        <f t="shared" si="86"/>
        <v>-7.7155000624207162</v>
      </c>
      <c r="G304" s="146"/>
      <c r="H304" s="184" t="str">
        <f t="shared" si="87"/>
        <v>0.5-0.00239550703616003i</v>
      </c>
      <c r="I304" s="132" t="str">
        <f t="shared" si="88"/>
        <v>0.01-0.0119775351808002i</v>
      </c>
      <c r="J304" s="132" t="str">
        <f t="shared" si="89"/>
        <v>0.0100719237112839-0.0115058009334381i</v>
      </c>
      <c r="K304" s="132"/>
      <c r="L304" s="132" t="str">
        <f t="shared" si="90"/>
        <v>0.0100928244818846-0.0113386843773852i</v>
      </c>
      <c r="M304" s="132" t="str">
        <f t="shared" si="91"/>
        <v>0.009+6.26172237174674i</v>
      </c>
      <c r="N304" s="132" t="str">
        <f t="shared" si="92"/>
        <v>-0.00180912872538817-0.00162027906855842i</v>
      </c>
      <c r="O304" s="185">
        <f t="shared" si="93"/>
        <v>-52.292767496239478</v>
      </c>
      <c r="P304" s="185">
        <f t="shared" si="94"/>
        <v>-138.1519642647944</v>
      </c>
      <c r="Q304" s="132">
        <f t="shared" si="95"/>
        <v>1897491.6278020432</v>
      </c>
      <c r="R304" s="132">
        <f t="shared" si="106"/>
        <v>5.4799999999999711</v>
      </c>
      <c r="S304" s="164">
        <f t="shared" si="96"/>
        <v>-37.245813756862461</v>
      </c>
      <c r="T304" s="132" t="str">
        <f t="shared" si="97"/>
        <v>1+26.3903135594708i</v>
      </c>
      <c r="U304" s="138">
        <f t="shared" si="98"/>
        <v>10.439395132657136</v>
      </c>
      <c r="V304" s="132">
        <f t="shared" si="99"/>
        <v>130.43646420237368</v>
      </c>
      <c r="W304" s="132">
        <f t="shared" si="100"/>
        <v>19.938037532856889</v>
      </c>
      <c r="X304" s="138">
        <f t="shared" si="101"/>
        <v>-91.160625397497569</v>
      </c>
      <c r="Y304" s="128" t="str">
        <f t="shared" si="102"/>
        <v>-0.20111367988203-9.92687989442547i</v>
      </c>
      <c r="Z304" s="128" t="str">
        <f t="shared" si="103"/>
        <v>-43917.6289962673i</v>
      </c>
      <c r="AA304" s="128" t="str">
        <f t="shared" si="107"/>
        <v>64900-3625.74662028806i</v>
      </c>
      <c r="AB304" s="128" t="str">
        <f t="shared" si="108"/>
        <v>5900-6647.20213719477i</v>
      </c>
      <c r="AC304" s="128" t="str">
        <f t="shared" si="109"/>
        <v>31423.6004120095-32531.7401521979i</v>
      </c>
      <c r="AD304" s="128" t="str">
        <f t="shared" si="110"/>
        <v>5941.9388986554-5968.03249478173i</v>
      </c>
      <c r="AE304" s="128" t="str">
        <f t="shared" si="111"/>
        <v>-3.78372874387813+1.9173036505154i</v>
      </c>
      <c r="AF304" s="130"/>
      <c r="AG304" s="130"/>
      <c r="AH304" s="130"/>
      <c r="AI304" s="130"/>
      <c r="AJ304" s="130"/>
      <c r="AK304" s="130"/>
      <c r="AL304" s="130"/>
      <c r="AM304" s="130"/>
      <c r="AN304" s="130"/>
      <c r="AO304" s="130"/>
      <c r="AP304" s="130"/>
      <c r="AQ304" s="130"/>
      <c r="AR304" s="130"/>
      <c r="AS304" s="130"/>
    </row>
    <row r="305" spans="1:45" s="166" customFormat="1" x14ac:dyDescent="0.2">
      <c r="A305" s="132">
        <f t="shared" si="104"/>
        <v>27.744</v>
      </c>
      <c r="B305" s="132">
        <f t="shared" si="105"/>
        <v>5.4999999999999707</v>
      </c>
      <c r="C305" s="146">
        <f t="shared" si="84"/>
        <v>316227.76601681684</v>
      </c>
      <c r="D305" s="137">
        <f t="shared" si="85"/>
        <v>-27.744158602054036</v>
      </c>
      <c r="E305" s="132">
        <f t="shared" si="86"/>
        <v>-8.6542749899499256</v>
      </c>
      <c r="G305" s="146"/>
      <c r="H305" s="184" t="str">
        <f t="shared" si="87"/>
        <v>0.5-0.00228769145929502i</v>
      </c>
      <c r="I305" s="132" t="str">
        <f t="shared" si="88"/>
        <v>0.01-0.0114384572964751i</v>
      </c>
      <c r="J305" s="132" t="str">
        <f t="shared" si="89"/>
        <v>0.0100483594967769-0.0109885887953457i</v>
      </c>
      <c r="K305" s="132"/>
      <c r="L305" s="132" t="str">
        <f t="shared" si="90"/>
        <v>0.0100613469693394-0.010829417466186i</v>
      </c>
      <c r="M305" s="132" t="str">
        <f t="shared" si="91"/>
        <v>0.009+6.55682825542499i</v>
      </c>
      <c r="N305" s="132" t="str">
        <f t="shared" si="92"/>
        <v>-0.00164986710816932-0.00154182668047779i</v>
      </c>
      <c r="O305" s="185">
        <f t="shared" si="93"/>
        <v>-52.92490204633404</v>
      </c>
      <c r="P305" s="185">
        <f t="shared" si="94"/>
        <v>-136.93875044866672</v>
      </c>
      <c r="Q305" s="132">
        <f t="shared" si="95"/>
        <v>1986917.6531590875</v>
      </c>
      <c r="R305" s="132">
        <f t="shared" si="106"/>
        <v>5.4999999999999707</v>
      </c>
      <c r="S305" s="164">
        <f t="shared" si="96"/>
        <v>-37.87794830695703</v>
      </c>
      <c r="T305" s="132" t="str">
        <f t="shared" si="97"/>
        <v>1+27.6340507201366i</v>
      </c>
      <c r="U305" s="138">
        <f t="shared" si="98"/>
        <v>10.133789704902995</v>
      </c>
      <c r="V305" s="132">
        <f t="shared" si="99"/>
        <v>128.2844754587168</v>
      </c>
      <c r="W305" s="132">
        <f t="shared" si="100"/>
        <v>19.537693472154768</v>
      </c>
      <c r="X305" s="138">
        <f t="shared" si="101"/>
        <v>-91.267708862383571</v>
      </c>
      <c r="Y305" s="128" t="str">
        <f t="shared" si="102"/>
        <v>-0.209771330370463-9.47934569045618i</v>
      </c>
      <c r="Z305" s="128" t="str">
        <f t="shared" si="103"/>
        <v>-41941.0100870754i</v>
      </c>
      <c r="AA305" s="128" t="str">
        <f t="shared" si="107"/>
        <v>64900-3462.56114116739i</v>
      </c>
      <c r="AB305" s="128" t="str">
        <f t="shared" si="108"/>
        <v>5900-6348.02875880688i</v>
      </c>
      <c r="AC305" s="128" t="str">
        <f t="shared" si="109"/>
        <v>30083.9635246351-32449.3751164894i</v>
      </c>
      <c r="AD305" s="128" t="str">
        <f t="shared" si="110"/>
        <v>5911.91169416815-5701.07142376748i</v>
      </c>
      <c r="AE305" s="128" t="str">
        <f t="shared" si="111"/>
        <v>-3.61805636780241+2.0603845130548i</v>
      </c>
      <c r="AF305" s="130"/>
      <c r="AG305" s="130"/>
      <c r="AH305" s="130"/>
      <c r="AI305" s="130"/>
      <c r="AJ305" s="130"/>
      <c r="AK305" s="130"/>
      <c r="AL305" s="130"/>
      <c r="AM305" s="130"/>
      <c r="AN305" s="130"/>
      <c r="AO305" s="130"/>
      <c r="AP305" s="130"/>
      <c r="AQ305" s="130"/>
      <c r="AR305" s="130"/>
      <c r="AS305" s="130"/>
    </row>
    <row r="306" spans="1:45" s="166" customFormat="1" x14ac:dyDescent="0.2">
      <c r="A306" s="132">
        <f t="shared" si="104"/>
        <v>28.683</v>
      </c>
      <c r="B306" s="132">
        <f t="shared" si="105"/>
        <v>5.5199999999999712</v>
      </c>
      <c r="C306" s="146">
        <f t="shared" si="84"/>
        <v>331131.12148256891</v>
      </c>
      <c r="D306" s="137">
        <f t="shared" si="85"/>
        <v>-28.682523057008716</v>
      </c>
      <c r="E306" s="132">
        <f t="shared" si="86"/>
        <v>-9.5071199052972446</v>
      </c>
      <c r="G306" s="146"/>
      <c r="H306" s="184" t="str">
        <f t="shared" si="87"/>
        <v>0.5-0.0021847283827313i</v>
      </c>
      <c r="I306" s="132" t="str">
        <f t="shared" si="88"/>
        <v>0.01-0.0109236419136565i</v>
      </c>
      <c r="J306" s="132" t="str">
        <f t="shared" si="89"/>
        <v>0.0100268658079845-0.0104945732759457i</v>
      </c>
      <c r="K306" s="132"/>
      <c r="L306" s="132" t="str">
        <f t="shared" si="90"/>
        <v>0.0100326331385006-0.0103429350208128i</v>
      </c>
      <c r="M306" s="132" t="str">
        <f t="shared" si="91"/>
        <v>0.009+6.86584205092228i</v>
      </c>
      <c r="N306" s="132" t="str">
        <f t="shared" si="92"/>
        <v>-0.00150463185335884-0.00146762038393919i</v>
      </c>
      <c r="O306" s="185">
        <f t="shared" si="93"/>
        <v>-53.54791333678282</v>
      </c>
      <c r="P306" s="185">
        <f t="shared" si="94"/>
        <v>-135.71342915238566</v>
      </c>
      <c r="Q306" s="132">
        <f t="shared" si="95"/>
        <v>2080558.1972491755</v>
      </c>
      <c r="R306" s="132">
        <f t="shared" si="106"/>
        <v>5.5199999999999703</v>
      </c>
      <c r="S306" s="164">
        <f t="shared" si="96"/>
        <v>-38.500959597405796</v>
      </c>
      <c r="T306" s="132" t="str">
        <f t="shared" si="97"/>
        <v>1+28.9364034073415i</v>
      </c>
      <c r="U306" s="138">
        <f t="shared" si="98"/>
        <v>9.8184365403970819</v>
      </c>
      <c r="V306" s="132">
        <f t="shared" si="99"/>
        <v>126.20630924708841</v>
      </c>
      <c r="W306" s="132">
        <f t="shared" si="100"/>
        <v>19.1373093003515</v>
      </c>
      <c r="X306" s="138">
        <f t="shared" si="101"/>
        <v>-91.377471338547863</v>
      </c>
      <c r="Y306" s="128" t="str">
        <f t="shared" si="102"/>
        <v>-0.217662476760018-9.05190409848715i</v>
      </c>
      <c r="Z306" s="128" t="str">
        <f t="shared" si="103"/>
        <v>-40053.3536834072i</v>
      </c>
      <c r="AA306" s="128" t="str">
        <f t="shared" si="107"/>
        <v>64900-3306.72021846078i</v>
      </c>
      <c r="AB306" s="128" t="str">
        <f t="shared" si="108"/>
        <v>5900-6062.32040051141i</v>
      </c>
      <c r="AC306" s="128" t="str">
        <f t="shared" si="109"/>
        <v>28740.5012013636-32312.2939288316i</v>
      </c>
      <c r="AD306" s="128" t="str">
        <f t="shared" si="110"/>
        <v>5884.51144492006-5445.91415251659i</v>
      </c>
      <c r="AE306" s="128" t="str">
        <f t="shared" si="111"/>
        <v>-3.4423842591002+2.18398750584593i</v>
      </c>
      <c r="AF306" s="130"/>
      <c r="AG306" s="130"/>
      <c r="AH306" s="130"/>
      <c r="AI306" s="130"/>
      <c r="AJ306" s="130"/>
      <c r="AK306" s="130"/>
      <c r="AL306" s="130"/>
      <c r="AM306" s="130"/>
      <c r="AN306" s="130"/>
      <c r="AO306" s="130"/>
      <c r="AP306" s="130"/>
      <c r="AQ306" s="130"/>
      <c r="AR306" s="130"/>
      <c r="AS306" s="130"/>
    </row>
    <row r="307" spans="1:45" s="166" customFormat="1" x14ac:dyDescent="0.2">
      <c r="A307" s="132">
        <f t="shared" si="104"/>
        <v>29.62</v>
      </c>
      <c r="B307" s="132">
        <f t="shared" si="105"/>
        <v>5.5399999999999698</v>
      </c>
      <c r="C307" s="146">
        <f t="shared" si="84"/>
        <v>346736.85045250773</v>
      </c>
      <c r="D307" s="137">
        <f t="shared" si="85"/>
        <v>-29.620450230000028</v>
      </c>
      <c r="E307" s="132">
        <f t="shared" si="86"/>
        <v>-10.278970667499053</v>
      </c>
      <c r="G307" s="146"/>
      <c r="H307" s="184" t="str">
        <f t="shared" si="87"/>
        <v>0.5-0.002086399407979i</v>
      </c>
      <c r="I307" s="132" t="str">
        <f t="shared" si="88"/>
        <v>0.01-0.010431997039895i</v>
      </c>
      <c r="J307" s="132" t="str">
        <f t="shared" si="89"/>
        <v>0.0100072609434239-0.0100227208905494i</v>
      </c>
      <c r="K307" s="132"/>
      <c r="L307" s="132" t="str">
        <f t="shared" si="90"/>
        <v>0.0100064408229471-0.00987822912203188i</v>
      </c>
      <c r="M307" s="132" t="str">
        <f t="shared" si="91"/>
        <v>0.009+7.18941921792904i</v>
      </c>
      <c r="N307" s="132" t="str">
        <f t="shared" si="92"/>
        <v>-0.00137218660431947-0.00139737640917169i</v>
      </c>
      <c r="O307" s="185">
        <f t="shared" si="93"/>
        <v>-54.161715694891662</v>
      </c>
      <c r="P307" s="185">
        <f t="shared" si="94"/>
        <v>-134.47889623653086</v>
      </c>
      <c r="Q307" s="132">
        <f t="shared" si="95"/>
        <v>2178611.8842209219</v>
      </c>
      <c r="R307" s="132">
        <f t="shared" si="106"/>
        <v>5.5399999999999698</v>
      </c>
      <c r="S307" s="164">
        <f t="shared" si="96"/>
        <v>-39.114761955514645</v>
      </c>
      <c r="T307" s="132" t="str">
        <f t="shared" si="97"/>
        <v>1+30.3001340857446i</v>
      </c>
      <c r="U307" s="138">
        <f t="shared" si="98"/>
        <v>9.494311725514617</v>
      </c>
      <c r="V307" s="132">
        <f t="shared" si="99"/>
        <v>124.19992556903181</v>
      </c>
      <c r="W307" s="132">
        <f t="shared" si="100"/>
        <v>18.736881767309079</v>
      </c>
      <c r="X307" s="138">
        <f t="shared" si="101"/>
        <v>-91.490144095187048</v>
      </c>
      <c r="Y307" s="128" t="str">
        <f t="shared" si="102"/>
        <v>-0.224854074015187-8.64365035362999i</v>
      </c>
      <c r="Z307" s="128" t="str">
        <f t="shared" si="103"/>
        <v>-38250.6558129483i</v>
      </c>
      <c r="AA307" s="128" t="str">
        <f t="shared" si="107"/>
        <v>64900-3157.89329267723i</v>
      </c>
      <c r="AB307" s="128" t="str">
        <f t="shared" si="108"/>
        <v>5900-5789.47103657493i</v>
      </c>
      <c r="AC307" s="128" t="str">
        <f t="shared" si="109"/>
        <v>27398.8996268213-32120.0700022157i</v>
      </c>
      <c r="AD307" s="128" t="str">
        <f t="shared" si="110"/>
        <v>5859.50953996804-5202.05654230425i</v>
      </c>
      <c r="AE307" s="128" t="str">
        <f t="shared" si="111"/>
        <v>-3.25973130329839+2.28781012708189i</v>
      </c>
      <c r="AF307" s="130"/>
      <c r="AG307" s="130"/>
      <c r="AH307" s="130"/>
      <c r="AI307" s="130"/>
      <c r="AJ307" s="130"/>
      <c r="AK307" s="130"/>
      <c r="AL307" s="130"/>
      <c r="AM307" s="130"/>
      <c r="AN307" s="130"/>
      <c r="AO307" s="130"/>
      <c r="AP307" s="130"/>
      <c r="AQ307" s="130"/>
      <c r="AR307" s="130"/>
      <c r="AS307" s="130"/>
    </row>
    <row r="308" spans="1:45" s="166" customFormat="1" x14ac:dyDescent="0.2">
      <c r="A308" s="132">
        <f t="shared" si="104"/>
        <v>30.556999999999999</v>
      </c>
      <c r="B308" s="132">
        <f t="shared" si="105"/>
        <v>5.5599999999999703</v>
      </c>
      <c r="C308" s="146">
        <f t="shared" si="84"/>
        <v>363078.05477007624</v>
      </c>
      <c r="D308" s="137">
        <f t="shared" si="85"/>
        <v>-30.557002109914659</v>
      </c>
      <c r="E308" s="132">
        <f t="shared" si="86"/>
        <v>-10.975184432500853</v>
      </c>
      <c r="G308" s="146"/>
      <c r="H308" s="184" t="str">
        <f t="shared" si="87"/>
        <v>0.5-0.00199249596609946i</v>
      </c>
      <c r="I308" s="132" t="str">
        <f t="shared" si="88"/>
        <v>0.01-0.00996247983049732i</v>
      </c>
      <c r="J308" s="132" t="str">
        <f t="shared" si="89"/>
        <v>0.00998937910833721-0.00957204331264009i</v>
      </c>
      <c r="K308" s="132"/>
      <c r="L308" s="132" t="str">
        <f t="shared" si="90"/>
        <v>0.00998254899512365-0.00943433495792818i</v>
      </c>
      <c r="M308" s="132" t="str">
        <f t="shared" si="91"/>
        <v>0.009+7.52824610699927i</v>
      </c>
      <c r="N308" s="132" t="str">
        <f t="shared" si="92"/>
        <v>-0.00125140415633871-0.00133083579416663i</v>
      </c>
      <c r="O308" s="185">
        <f t="shared" si="93"/>
        <v>-54.766260583626725</v>
      </c>
      <c r="P308" s="185">
        <f t="shared" si="94"/>
        <v>-133.23809442315545</v>
      </c>
      <c r="Q308" s="132">
        <f t="shared" si="95"/>
        <v>2281286.699090688</v>
      </c>
      <c r="R308" s="132">
        <f t="shared" si="106"/>
        <v>5.5599999999999694</v>
      </c>
      <c r="S308" s="164">
        <f t="shared" si="96"/>
        <v>-39.719306844249701</v>
      </c>
      <c r="T308" s="132" t="str">
        <f t="shared" si="97"/>
        <v>1+31.7281354109533i</v>
      </c>
      <c r="U308" s="138">
        <f t="shared" si="98"/>
        <v>9.1623047343350414</v>
      </c>
      <c r="V308" s="132">
        <f t="shared" si="99"/>
        <v>122.26290999065459</v>
      </c>
      <c r="W308" s="132">
        <f t="shared" si="100"/>
        <v>18.336407257065918</v>
      </c>
      <c r="X308" s="138">
        <f t="shared" si="101"/>
        <v>-91.60596435513699</v>
      </c>
      <c r="Y308" s="128" t="str">
        <f t="shared" si="102"/>
        <v>-0.231407144768415-8.25372015297178i</v>
      </c>
      <c r="Z308" s="128" t="str">
        <f t="shared" si="103"/>
        <v>-36529.0927118234i</v>
      </c>
      <c r="AA308" s="128" t="str">
        <f t="shared" si="107"/>
        <v>64900-3015.76468195357i</v>
      </c>
      <c r="AB308" s="128" t="str">
        <f t="shared" si="108"/>
        <v>5900-5528.90191691489i</v>
      </c>
      <c r="AC308" s="128" t="str">
        <f t="shared" si="109"/>
        <v>26064.8135710934-31872.9433389195i</v>
      </c>
      <c r="AD308" s="128" t="str">
        <f t="shared" si="110"/>
        <v>5836.69705996797-4969.0136781478i</v>
      </c>
      <c r="AE308" s="128" t="str">
        <f t="shared" si="111"/>
        <v>-3.07295157609575+2.37205644433533i</v>
      </c>
      <c r="AF308" s="130"/>
      <c r="AG308" s="130"/>
      <c r="AH308" s="130"/>
      <c r="AI308" s="130"/>
      <c r="AJ308" s="130"/>
      <c r="AK308" s="130"/>
      <c r="AL308" s="130"/>
      <c r="AM308" s="130"/>
      <c r="AN308" s="130"/>
      <c r="AO308" s="130"/>
      <c r="AP308" s="130"/>
      <c r="AQ308" s="130"/>
      <c r="AR308" s="130"/>
      <c r="AS308" s="130"/>
    </row>
    <row r="309" spans="1:45" s="166" customFormat="1" x14ac:dyDescent="0.2">
      <c r="A309" s="132">
        <f t="shared" si="104"/>
        <v>31.491</v>
      </c>
      <c r="B309" s="132">
        <f t="shared" si="105"/>
        <v>5.579999999999969</v>
      </c>
      <c r="C309" s="146">
        <f t="shared" si="84"/>
        <v>380189.39632053417</v>
      </c>
      <c r="D309" s="137">
        <f t="shared" si="85"/>
        <v>-31.491362266401978</v>
      </c>
      <c r="E309" s="132">
        <f t="shared" si="86"/>
        <v>-11.601421954298786</v>
      </c>
      <c r="G309" s="146"/>
      <c r="H309" s="184" t="str">
        <f t="shared" si="87"/>
        <v>0.5-0.0019028188753026i</v>
      </c>
      <c r="I309" s="132" t="str">
        <f t="shared" si="88"/>
        <v>0.01-0.00951409437651302i</v>
      </c>
      <c r="J309" s="132" t="str">
        <f t="shared" si="89"/>
        <v>0.00997306902867836-0.00914159551579363i</v>
      </c>
      <c r="K309" s="132"/>
      <c r="L309" s="132" t="str">
        <f t="shared" si="90"/>
        <v>0.00996075593471951-0.00901032917325583i</v>
      </c>
      <c r="M309" s="132" t="str">
        <f t="shared" si="91"/>
        <v>0.009+7.88304141539197i</v>
      </c>
      <c r="N309" s="132" t="str">
        <f t="shared" si="92"/>
        <v>-0.001141256791433-0.00126776169879137i</v>
      </c>
      <c r="O309" s="185">
        <f t="shared" si="93"/>
        <v>-55.361537578069161</v>
      </c>
      <c r="P309" s="185">
        <f t="shared" si="94"/>
        <v>-131.99398501147954</v>
      </c>
      <c r="Q309" s="132">
        <f t="shared" si="95"/>
        <v>2388800.4289066568</v>
      </c>
      <c r="R309" s="132">
        <f t="shared" si="106"/>
        <v>5.579999999999969</v>
      </c>
      <c r="S309" s="164">
        <f t="shared" si="96"/>
        <v>-40.314583838692144</v>
      </c>
      <c r="T309" s="132" t="str">
        <f t="shared" si="97"/>
        <v>1+33.2234363652338i</v>
      </c>
      <c r="U309" s="138">
        <f t="shared" si="98"/>
        <v>8.8232215722901675</v>
      </c>
      <c r="V309" s="132">
        <f t="shared" si="99"/>
        <v>120.39256305718075</v>
      </c>
      <c r="W309" s="132">
        <f t="shared" si="100"/>
        <v>17.935881757594586</v>
      </c>
      <c r="X309" s="138">
        <f t="shared" si="101"/>
        <v>-91.725175764399324</v>
      </c>
      <c r="Y309" s="128" t="str">
        <f t="shared" si="102"/>
        <v>-0.23737729642152-7.88128785394222i</v>
      </c>
      <c r="Z309" s="128" t="str">
        <f t="shared" si="103"/>
        <v>-34885.0127138811i</v>
      </c>
      <c r="AA309" s="128" t="str">
        <f t="shared" si="107"/>
        <v>64900-2880.03291245097i</v>
      </c>
      <c r="AB309" s="128" t="str">
        <f t="shared" si="108"/>
        <v>5900-5280.06033949345i</v>
      </c>
      <c r="AC309" s="128" t="str">
        <f t="shared" si="109"/>
        <v>24743.7715833682-31571.8060697181i</v>
      </c>
      <c r="AD309" s="128" t="str">
        <f t="shared" si="110"/>
        <v>5815.88311523065-4746.3194440761i</v>
      </c>
      <c r="AE309" s="128" t="str">
        <f t="shared" si="111"/>
        <v>-2.88465330719237+2.43735734436103i</v>
      </c>
      <c r="AF309" s="130"/>
      <c r="AG309" s="130"/>
      <c r="AH309" s="130"/>
      <c r="AI309" s="130"/>
      <c r="AJ309" s="130"/>
      <c r="AK309" s="130"/>
      <c r="AL309" s="130"/>
      <c r="AM309" s="130"/>
      <c r="AN309" s="130"/>
      <c r="AO309" s="130"/>
      <c r="AP309" s="130"/>
      <c r="AQ309" s="130"/>
      <c r="AR309" s="130"/>
      <c r="AS309" s="130"/>
    </row>
    <row r="310" spans="1:45" s="166" customFormat="1" x14ac:dyDescent="0.2">
      <c r="A310" s="132">
        <f t="shared" si="104"/>
        <v>32.423000000000002</v>
      </c>
      <c r="B310" s="132">
        <f t="shared" si="105"/>
        <v>5.5999999999999694</v>
      </c>
      <c r="C310" s="146">
        <f t="shared" si="84"/>
        <v>398107.17055346887</v>
      </c>
      <c r="D310" s="137">
        <f t="shared" si="85"/>
        <v>-32.422831803152363</v>
      </c>
      <c r="E310" s="132">
        <f t="shared" si="86"/>
        <v>-12.163542622104913</v>
      </c>
      <c r="G310" s="146"/>
      <c r="H310" s="184" t="str">
        <f t="shared" si="87"/>
        <v>0.5-0.00181717791845564i</v>
      </c>
      <c r="I310" s="132" t="str">
        <f t="shared" si="88"/>
        <v>0.01-0.0090858895922782i</v>
      </c>
      <c r="J310" s="132" t="str">
        <f t="shared" si="89"/>
        <v>0.00995819268477208-0.00873047397685626i</v>
      </c>
      <c r="K310" s="132"/>
      <c r="L310" s="132" t="str">
        <f t="shared" si="90"/>
        <v>0.00994087755345978-0.0086053282560674i</v>
      </c>
      <c r="M310" s="132" t="str">
        <f t="shared" si="91"/>
        <v>0.009+8.2545577115245i</v>
      </c>
      <c r="N310" s="132" t="str">
        <f t="shared" si="92"/>
        <v>-0.00104080747371376-0.00120793704564518i</v>
      </c>
      <c r="O310" s="185">
        <f t="shared" si="93"/>
        <v>-55.947574690105057</v>
      </c>
      <c r="P310" s="185">
        <f t="shared" si="94"/>
        <v>-130.74951887228045</v>
      </c>
      <c r="Q310" s="132">
        <f t="shared" si="95"/>
        <v>2501381.1247043931</v>
      </c>
      <c r="R310" s="132">
        <f t="shared" si="106"/>
        <v>5.5999999999999686</v>
      </c>
      <c r="S310" s="164">
        <f t="shared" si="96"/>
        <v>-40.900620950728033</v>
      </c>
      <c r="T310" s="132" t="str">
        <f t="shared" si="97"/>
        <v>1+34.7892086823887i</v>
      </c>
      <c r="U310" s="138">
        <f t="shared" si="98"/>
        <v>8.4777891475756686</v>
      </c>
      <c r="V310" s="132">
        <f t="shared" si="99"/>
        <v>118.58597625017553</v>
      </c>
      <c r="W310" s="132">
        <f t="shared" si="100"/>
        <v>17.535300827288975</v>
      </c>
      <c r="X310" s="138">
        <f t="shared" si="101"/>
        <v>-91.848028870506425</v>
      </c>
      <c r="Y310" s="128" t="str">
        <f t="shared" si="102"/>
        <v>-0.242815192455247-7.52556475074236i</v>
      </c>
      <c r="Z310" s="128" t="str">
        <f t="shared" si="103"/>
        <v>-33314.92850502i</v>
      </c>
      <c r="AA310" s="128" t="str">
        <f t="shared" si="107"/>
        <v>64900-2750.4100788884i</v>
      </c>
      <c r="AB310" s="128" t="str">
        <f t="shared" si="108"/>
        <v>5900-5042.41847796207i</v>
      </c>
      <c r="AC310" s="128" t="str">
        <f t="shared" si="109"/>
        <v>23441.0856598926-31218.1719443603i</v>
      </c>
      <c r="AD310" s="128" t="str">
        <f t="shared" si="110"/>
        <v>5796.89331825426-4533.52606206288i</v>
      </c>
      <c r="AE310" s="128" t="str">
        <f t="shared" si="111"/>
        <v>-2.69714504626034+2.48468267741416i</v>
      </c>
      <c r="AF310" s="130"/>
      <c r="AG310" s="130"/>
      <c r="AH310" s="130"/>
      <c r="AI310" s="130"/>
      <c r="AJ310" s="130"/>
      <c r="AK310" s="130"/>
      <c r="AL310" s="130"/>
      <c r="AM310" s="130"/>
      <c r="AN310" s="130"/>
      <c r="AO310" s="130"/>
      <c r="AP310" s="130"/>
      <c r="AQ310" s="130"/>
      <c r="AR310" s="130"/>
      <c r="AS310" s="130"/>
    </row>
    <row r="311" spans="1:45" s="166" customFormat="1" x14ac:dyDescent="0.2">
      <c r="A311" s="132">
        <f t="shared" si="104"/>
        <v>33.350999999999999</v>
      </c>
      <c r="B311" s="132">
        <f t="shared" si="105"/>
        <v>5.619999999999969</v>
      </c>
      <c r="C311" s="146">
        <f t="shared" si="84"/>
        <v>416869.38347030559</v>
      </c>
      <c r="D311" s="137">
        <f t="shared" si="85"/>
        <v>-33.350823883238832</v>
      </c>
      <c r="E311" s="132">
        <f t="shared" si="86"/>
        <v>-12.667512188239215</v>
      </c>
      <c r="G311" s="146"/>
      <c r="H311" s="184" t="str">
        <f t="shared" si="87"/>
        <v>0.5-0.001735391439607i</v>
      </c>
      <c r="I311" s="132" t="str">
        <f t="shared" si="88"/>
        <v>0.01-0.00867695719803499i</v>
      </c>
      <c r="J311" s="132" t="str">
        <f t="shared" si="89"/>
        <v>0.00994462415449636-0.00833781494048358i</v>
      </c>
      <c r="K311" s="132"/>
      <c r="L311" s="132" t="str">
        <f t="shared" si="90"/>
        <v>0.00992274586333765-0.00821848696465042i</v>
      </c>
      <c r="M311" s="132" t="str">
        <f t="shared" si="91"/>
        <v>0.009+8.643583031271i</v>
      </c>
      <c r="N311" s="132" t="str">
        <f t="shared" si="92"/>
        <v>-0.0009492018279237-0.00115116244569603i</v>
      </c>
      <c r="O311" s="185">
        <f t="shared" si="93"/>
        <v>-56.524438031968728</v>
      </c>
      <c r="P311" s="185">
        <f t="shared" si="94"/>
        <v>-129.50760747720258</v>
      </c>
      <c r="Q311" s="132">
        <f t="shared" si="95"/>
        <v>2619267.5852336367</v>
      </c>
      <c r="R311" s="132">
        <f t="shared" si="106"/>
        <v>5.6199999999999681</v>
      </c>
      <c r="S311" s="164">
        <f t="shared" si="96"/>
        <v>-41.477484292591704</v>
      </c>
      <c r="T311" s="132" t="str">
        <f t="shared" si="97"/>
        <v>1+36.4287735754294i</v>
      </c>
      <c r="U311" s="138">
        <f t="shared" si="98"/>
        <v>8.1266604093528763</v>
      </c>
      <c r="V311" s="132">
        <f t="shared" si="99"/>
        <v>116.84009528896337</v>
      </c>
      <c r="W311" s="132">
        <f t="shared" si="100"/>
        <v>17.134659557916013</v>
      </c>
      <c r="X311" s="138">
        <f t="shared" si="101"/>
        <v>-91.974781610018411</v>
      </c>
      <c r="Y311" s="128" t="str">
        <f t="shared" si="102"/>
        <v>-0.247766981922608-7.18579742570886i</v>
      </c>
      <c r="Z311" s="128" t="str">
        <f t="shared" si="103"/>
        <v>-31815.5097261283i</v>
      </c>
      <c r="AA311" s="128" t="str">
        <f t="shared" si="107"/>
        <v>64900-2626.62123385706i</v>
      </c>
      <c r="AB311" s="128" t="str">
        <f t="shared" si="108"/>
        <v>5900-4815.47226207126i</v>
      </c>
      <c r="AC311" s="128" t="str">
        <f t="shared" si="109"/>
        <v>22161.7684691808-30814.131171424i</v>
      </c>
      <c r="AD311" s="128" t="str">
        <f t="shared" si="110"/>
        <v>5779.56838084563-4330.20360313316i</v>
      </c>
      <c r="AE311" s="128" t="str">
        <f t="shared" si="111"/>
        <v>-2.51240701276009+2.51525312575281i</v>
      </c>
      <c r="AF311" s="130"/>
      <c r="AG311" s="130"/>
      <c r="AH311" s="130"/>
      <c r="AI311" s="130"/>
      <c r="AJ311" s="130"/>
      <c r="AK311" s="130"/>
      <c r="AL311" s="130"/>
      <c r="AM311" s="130"/>
      <c r="AN311" s="130"/>
      <c r="AO311" s="130"/>
      <c r="AP311" s="130"/>
      <c r="AQ311" s="130"/>
      <c r="AR311" s="130"/>
      <c r="AS311" s="130"/>
    </row>
    <row r="312" spans="1:45" s="166" customFormat="1" x14ac:dyDescent="0.2">
      <c r="A312" s="132">
        <f t="shared" si="104"/>
        <v>34.274999999999999</v>
      </c>
      <c r="B312" s="132">
        <f t="shared" si="105"/>
        <v>5.6399999999999677</v>
      </c>
      <c r="C312" s="146">
        <f t="shared" si="84"/>
        <v>436515.8322401339</v>
      </c>
      <c r="D312" s="137">
        <f t="shared" si="85"/>
        <v>-34.274857205273442</v>
      </c>
      <c r="E312" s="132">
        <f t="shared" si="86"/>
        <v>-13.119322797899258</v>
      </c>
      <c r="G312" s="146"/>
      <c r="H312" s="184" t="str">
        <f t="shared" si="87"/>
        <v>0.5-0.00165728595866975i</v>
      </c>
      <c r="I312" s="132" t="str">
        <f t="shared" si="88"/>
        <v>0.01-0.00828642979334877i</v>
      </c>
      <c r="J312" s="132" t="str">
        <f t="shared" si="89"/>
        <v>0.00993224855667109-0.0079627927447748i</v>
      </c>
      <c r="K312" s="132"/>
      <c r="L312" s="132" t="str">
        <f t="shared" si="90"/>
        <v>0.00990620757633177-0.00784899679706864i</v>
      </c>
      <c r="M312" s="132" t="str">
        <f t="shared" si="91"/>
        <v>0.009+9.05094254949218i</v>
      </c>
      <c r="N312" s="132" t="str">
        <f t="shared" si="92"/>
        <v>-0.000865660830834721-0.00109725437228646i</v>
      </c>
      <c r="O312" s="185">
        <f t="shared" si="93"/>
        <v>-57.09223083262286</v>
      </c>
      <c r="P312" s="185">
        <f t="shared" si="94"/>
        <v>-128.27109471599081</v>
      </c>
      <c r="Q312" s="132">
        <f t="shared" si="95"/>
        <v>2742709.8634824785</v>
      </c>
      <c r="R312" s="132">
        <f t="shared" si="106"/>
        <v>5.6399999999999677</v>
      </c>
      <c r="S312" s="164">
        <f t="shared" si="96"/>
        <v>-42.045277093245844</v>
      </c>
      <c r="T312" s="132" t="str">
        <f t="shared" si="97"/>
        <v>1+38.1456087813143i</v>
      </c>
      <c r="U312" s="138">
        <f t="shared" si="98"/>
        <v>7.7704198879724036</v>
      </c>
      <c r="V312" s="132">
        <f t="shared" si="99"/>
        <v>115.15177191809155</v>
      </c>
      <c r="W312" s="132">
        <f t="shared" si="100"/>
        <v>16.733952533738332</v>
      </c>
      <c r="X312" s="138">
        <f t="shared" si="101"/>
        <v>-92.105699805363173</v>
      </c>
      <c r="Y312" s="128" t="str">
        <f t="shared" si="102"/>
        <v>-0.252274690751851-6.86126617257935i</v>
      </c>
      <c r="Z312" s="128" t="str">
        <f t="shared" si="103"/>
        <v>-30383.5759089455i</v>
      </c>
      <c r="AA312" s="128" t="str">
        <f t="shared" si="107"/>
        <v>64900-2508.40380461996i</v>
      </c>
      <c r="AB312" s="128" t="str">
        <f t="shared" si="108"/>
        <v>5900-4598.74030846993i</v>
      </c>
      <c r="AC312" s="128" t="str">
        <f t="shared" si="109"/>
        <v>20910.4607704389-30362.2926457179i</v>
      </c>
      <c r="AD312" s="128" t="str">
        <f t="shared" si="110"/>
        <v>5763.76282649341-4135.93947793819i</v>
      </c>
      <c r="AE312" s="128" t="str">
        <f t="shared" si="111"/>
        <v>-2.33208387311713+2.53045772643222i</v>
      </c>
      <c r="AF312" s="130"/>
      <c r="AG312" s="130"/>
      <c r="AH312" s="130"/>
      <c r="AI312" s="130"/>
      <c r="AJ312" s="130"/>
      <c r="AK312" s="130"/>
      <c r="AL312" s="130"/>
      <c r="AM312" s="130"/>
      <c r="AN312" s="130"/>
      <c r="AO312" s="130"/>
      <c r="AP312" s="130"/>
      <c r="AQ312" s="130"/>
      <c r="AR312" s="130"/>
      <c r="AS312" s="130"/>
    </row>
    <row r="313" spans="1:45" s="166" customFormat="1" x14ac:dyDescent="0.2">
      <c r="A313" s="132">
        <f t="shared" si="104"/>
        <v>35.195</v>
      </c>
      <c r="B313" s="132">
        <f t="shared" si="105"/>
        <v>5.6599999999999682</v>
      </c>
      <c r="C313" s="146">
        <f t="shared" si="84"/>
        <v>457088.18961484137</v>
      </c>
      <c r="D313" s="137">
        <f t="shared" si="85"/>
        <v>-35.19454874495738</v>
      </c>
      <c r="E313" s="132">
        <f t="shared" si="86"/>
        <v>-13.524924726523665</v>
      </c>
      <c r="G313" s="146"/>
      <c r="H313" s="184" t="str">
        <f t="shared" si="87"/>
        <v>0.5-0.00158269580344704i</v>
      </c>
      <c r="I313" s="132" t="str">
        <f t="shared" si="88"/>
        <v>0.01-0.00791347901723519i</v>
      </c>
      <c r="J313" s="132" t="str">
        <f t="shared" si="89"/>
        <v>0.00992096108610011-0.00760461820742996i</v>
      </c>
      <c r="K313" s="132"/>
      <c r="L313" s="132" t="str">
        <f t="shared" si="90"/>
        <v>0.00989112282458768-0.00749608450498418i</v>
      </c>
      <c r="M313" s="132" t="str">
        <f t="shared" si="91"/>
        <v>0.009+9.47750033034185i</v>
      </c>
      <c r="N313" s="132" t="str">
        <f t="shared" si="92"/>
        <v>-0.000789474151614261-0.00104604355189254i</v>
      </c>
      <c r="O313" s="185">
        <f t="shared" si="93"/>
        <v>-57.651091843508453</v>
      </c>
      <c r="P313" s="185">
        <f t="shared" si="94"/>
        <v>-127.04273021605734</v>
      </c>
      <c r="Q313" s="132">
        <f t="shared" si="95"/>
        <v>2871969.7970732879</v>
      </c>
      <c r="R313" s="132">
        <f t="shared" si="106"/>
        <v>5.6599999999999673</v>
      </c>
      <c r="S313" s="164">
        <f t="shared" si="96"/>
        <v>-42.604138104131444</v>
      </c>
      <c r="T313" s="132" t="str">
        <f t="shared" si="97"/>
        <v>1+39.9433559376953i</v>
      </c>
      <c r="U313" s="138">
        <f t="shared" si="98"/>
        <v>7.4095893591740625</v>
      </c>
      <c r="V313" s="132">
        <f t="shared" si="99"/>
        <v>113.51780548953367</v>
      </c>
      <c r="W313" s="132">
        <f t="shared" si="100"/>
        <v>16.333173786487901</v>
      </c>
      <c r="X313" s="138">
        <f t="shared" si="101"/>
        <v>-92.241057671133618</v>
      </c>
      <c r="Y313" s="128" t="str">
        <f t="shared" si="102"/>
        <v>-0.256376578165188-6.55128348872219i</v>
      </c>
      <c r="Z313" s="128" t="str">
        <f t="shared" si="103"/>
        <v>-29016.0897298624i</v>
      </c>
      <c r="AA313" s="128" t="str">
        <f t="shared" si="107"/>
        <v>64900-2395.50703616003i</v>
      </c>
      <c r="AB313" s="128" t="str">
        <f t="shared" si="108"/>
        <v>5900-4391.76289962673i</v>
      </c>
      <c r="AC313" s="128" t="str">
        <f t="shared" si="109"/>
        <v>19691.3710770013-29865.716094046i</v>
      </c>
      <c r="AD313" s="128" t="str">
        <f t="shared" si="110"/>
        <v>5749.34380921005-3950.33791303238i</v>
      </c>
      <c r="AE313" s="128" t="str">
        <f t="shared" si="111"/>
        <v>-2.15749434510832+2.53178096173745i</v>
      </c>
      <c r="AF313" s="130"/>
      <c r="AG313" s="130"/>
      <c r="AH313" s="130"/>
      <c r="AI313" s="130"/>
      <c r="AJ313" s="130"/>
      <c r="AK313" s="130"/>
      <c r="AL313" s="130"/>
      <c r="AM313" s="130"/>
      <c r="AN313" s="130"/>
      <c r="AO313" s="130"/>
      <c r="AP313" s="130"/>
      <c r="AQ313" s="130"/>
      <c r="AR313" s="130"/>
      <c r="AS313" s="130"/>
    </row>
    <row r="314" spans="1:45" s="166" customFormat="1" x14ac:dyDescent="0.2">
      <c r="A314" s="132">
        <f t="shared" si="104"/>
        <v>36.11</v>
      </c>
      <c r="B314" s="132">
        <f t="shared" si="105"/>
        <v>5.6799999999999669</v>
      </c>
      <c r="C314" s="146">
        <f t="shared" si="84"/>
        <v>478630.09232260217</v>
      </c>
      <c r="D314" s="137">
        <f t="shared" si="85"/>
        <v>-36.109606022568002</v>
      </c>
      <c r="E314" s="132">
        <f t="shared" si="86"/>
        <v>-13.890169117644945</v>
      </c>
      <c r="G314" s="146"/>
      <c r="H314" s="184" t="str">
        <f t="shared" si="87"/>
        <v>0.5-0.00151146275821917i</v>
      </c>
      <c r="I314" s="132" t="str">
        <f t="shared" si="88"/>
        <v>0.01-0.00755731379109583i</v>
      </c>
      <c r="J314" s="132" t="str">
        <f t="shared" si="89"/>
        <v>0.00991066613242375-0.00726253707160842i</v>
      </c>
      <c r="K314" s="132"/>
      <c r="L314" s="132" t="str">
        <f t="shared" si="90"/>
        <v>0.00987736399092569-0.00715901065290841i</v>
      </c>
      <c r="M314" s="132" t="str">
        <f t="shared" si="91"/>
        <v>0.009+9.92416116006276i</v>
      </c>
      <c r="N314" s="132" t="str">
        <f t="shared" si="92"/>
        <v>-0.000719994083081356-0.000997373544170496i</v>
      </c>
      <c r="O314" s="185">
        <f t="shared" si="93"/>
        <v>-58.201193190571814</v>
      </c>
      <c r="P314" s="185">
        <f t="shared" si="94"/>
        <v>-125.82514480764419</v>
      </c>
      <c r="Q314" s="132">
        <f t="shared" si="95"/>
        <v>3007321.563655383</v>
      </c>
      <c r="R314" s="132">
        <f t="shared" si="106"/>
        <v>5.6799999999999669</v>
      </c>
      <c r="S314" s="164">
        <f t="shared" si="96"/>
        <v>-43.154239451194805</v>
      </c>
      <c r="T314" s="132" t="str">
        <f t="shared" si="97"/>
        <v>1+41.8258283073191i</v>
      </c>
      <c r="U314" s="138">
        <f t="shared" si="98"/>
        <v>7.0446334286268026</v>
      </c>
      <c r="V314" s="132">
        <f t="shared" si="99"/>
        <v>111.93497568999925</v>
      </c>
      <c r="W314" s="132">
        <f t="shared" si="100"/>
        <v>15.932316745840666</v>
      </c>
      <c r="X314" s="138">
        <f t="shared" si="101"/>
        <v>-92.381138329843196</v>
      </c>
      <c r="Y314" s="128" t="str">
        <f t="shared" si="102"/>
        <v>-0.260107461227297-6.2551926334915i</v>
      </c>
      <c r="Z314" s="128" t="str">
        <f t="shared" si="103"/>
        <v>-27710.1505673514i</v>
      </c>
      <c r="AA314" s="128" t="str">
        <f t="shared" si="107"/>
        <v>64900-2287.69145929502i</v>
      </c>
      <c r="AB314" s="128" t="str">
        <f t="shared" si="108"/>
        <v>5900-4194.10100870754i</v>
      </c>
      <c r="AC314" s="128" t="str">
        <f t="shared" si="109"/>
        <v>18508.228945224-29327.8369873803i</v>
      </c>
      <c r="AD314" s="128" t="str">
        <f t="shared" si="110"/>
        <v>5736.19003060882-3773.01941815629i</v>
      </c>
      <c r="AE314" s="128" t="str">
        <f t="shared" si="111"/>
        <v>-1.98965291189575+2.52074149598413i</v>
      </c>
      <c r="AF314" s="130"/>
      <c r="AG314" s="130"/>
      <c r="AH314" s="130"/>
      <c r="AI314" s="130"/>
      <c r="AJ314" s="130"/>
      <c r="AK314" s="130"/>
      <c r="AL314" s="130"/>
      <c r="AM314" s="130"/>
      <c r="AN314" s="130"/>
      <c r="AO314" s="130"/>
      <c r="AP314" s="130"/>
      <c r="AQ314" s="130"/>
      <c r="AR314" s="130"/>
      <c r="AS314" s="130"/>
    </row>
    <row r="315" spans="1:45" s="166" customFormat="1" x14ac:dyDescent="0.2">
      <c r="A315" s="132">
        <f t="shared" si="104"/>
        <v>37.020000000000003</v>
      </c>
      <c r="B315" s="132">
        <f t="shared" si="105"/>
        <v>5.6999999999999673</v>
      </c>
      <c r="C315" s="146">
        <f t="shared" si="84"/>
        <v>501187.23362723429</v>
      </c>
      <c r="D315" s="137">
        <f t="shared" si="85"/>
        <v>-37.019819112636782</v>
      </c>
      <c r="E315" s="132">
        <f t="shared" si="86"/>
        <v>-14.220760958417088</v>
      </c>
      <c r="G315" s="146"/>
      <c r="H315" s="184" t="str">
        <f t="shared" si="87"/>
        <v>0.5-0.00144343572814682i</v>
      </c>
      <c r="I315" s="132" t="str">
        <f t="shared" si="88"/>
        <v>0.01-0.0072171786407341i</v>
      </c>
      <c r="J315" s="132" t="str">
        <f t="shared" si="89"/>
        <v>0.00990127647559082-0.00693582851045835i</v>
      </c>
      <c r="K315" s="132"/>
      <c r="L315" s="132" t="str">
        <f t="shared" si="90"/>
        <v>0.00986481464034934-0.00683706822357498i</v>
      </c>
      <c r="M315" s="132" t="str">
        <f t="shared" si="91"/>
        <v>0.009+10.3918724661596i</v>
      </c>
      <c r="N315" s="132" t="str">
        <f t="shared" si="92"/>
        <v>-0.000656630011044121-0.000951099487418025i</v>
      </c>
      <c r="O315" s="185">
        <f t="shared" si="93"/>
        <v>-58.742737746540207</v>
      </c>
      <c r="P315" s="185">
        <f t="shared" si="94"/>
        <v>-124.62082867937782</v>
      </c>
      <c r="Q315" s="132">
        <f t="shared" si="95"/>
        <v>3149052.2624726212</v>
      </c>
      <c r="R315" s="132">
        <f t="shared" si="106"/>
        <v>5.6999999999999664</v>
      </c>
      <c r="S315" s="164">
        <f t="shared" si="96"/>
        <v>-43.695784007163184</v>
      </c>
      <c r="T315" s="132" t="str">
        <f t="shared" si="97"/>
        <v>1+43.7970188664692i</v>
      </c>
      <c r="U315" s="138">
        <f t="shared" si="98"/>
        <v>6.6759648945264018</v>
      </c>
      <c r="V315" s="132">
        <f t="shared" si="99"/>
        <v>110.40006772096073</v>
      </c>
      <c r="W315" s="132">
        <f t="shared" si="100"/>
        <v>15.531374185009239</v>
      </c>
      <c r="X315" s="138">
        <f t="shared" si="101"/>
        <v>-92.526234337008034</v>
      </c>
      <c r="Y315" s="128" t="str">
        <f t="shared" si="102"/>
        <v>-0.263499010270565-5.97236624996567i</v>
      </c>
      <c r="Z315" s="128" t="str">
        <f t="shared" si="103"/>
        <v>-26462.9883493583i</v>
      </c>
      <c r="AA315" s="128" t="str">
        <f t="shared" si="107"/>
        <v>64900-2184.7283827313i</v>
      </c>
      <c r="AB315" s="128" t="str">
        <f t="shared" si="108"/>
        <v>5900-4005.33536834072i</v>
      </c>
      <c r="AC315" s="128" t="str">
        <f t="shared" si="109"/>
        <v>17364.2525651275-28752.3871986151i</v>
      </c>
      <c r="AD315" s="128" t="str">
        <f t="shared" si="110"/>
        <v>5724.19074751911-3603.62024901909i</v>
      </c>
      <c r="AE315" s="128" t="str">
        <f t="shared" si="111"/>
        <v>-1.82929931578692+2.49884315412934i</v>
      </c>
      <c r="AF315" s="130"/>
      <c r="AG315" s="130"/>
      <c r="AH315" s="130"/>
      <c r="AI315" s="130"/>
      <c r="AJ315" s="130"/>
      <c r="AK315" s="130"/>
      <c r="AL315" s="130"/>
      <c r="AM315" s="130"/>
      <c r="AN315" s="130"/>
      <c r="AO315" s="130"/>
      <c r="AP315" s="130"/>
      <c r="AQ315" s="130"/>
      <c r="AR315" s="130"/>
      <c r="AS315" s="130"/>
    </row>
    <row r="316" spans="1:45" s="166" customFormat="1" x14ac:dyDescent="0.2">
      <c r="A316" s="132">
        <f t="shared" si="104"/>
        <v>37.924999999999997</v>
      </c>
      <c r="B316" s="132">
        <f t="shared" si="105"/>
        <v>5.719999999999966</v>
      </c>
      <c r="C316" s="146">
        <f t="shared" si="84"/>
        <v>524807.46024973178</v>
      </c>
      <c r="D316" s="137">
        <f t="shared" si="85"/>
        <v>-37.925052576061113</v>
      </c>
      <c r="E316" s="132">
        <f t="shared" si="86"/>
        <v>-14.522221506413103</v>
      </c>
      <c r="G316" s="146"/>
      <c r="H316" s="184" t="str">
        <f t="shared" si="87"/>
        <v>0.5-0.00137847041877866i</v>
      </c>
      <c r="I316" s="132" t="str">
        <f t="shared" si="88"/>
        <v>0.01-0.00689235209389334i</v>
      </c>
      <c r="J316" s="132" t="str">
        <f t="shared" si="89"/>
        <v>0.00989271255136135-0.00662380368912405i</v>
      </c>
      <c r="K316" s="132"/>
      <c r="L316" s="132" t="str">
        <f t="shared" si="90"/>
        <v>0.00985336854398591-0.00652958126975573i</v>
      </c>
      <c r="M316" s="132" t="str">
        <f t="shared" si="91"/>
        <v>0.009+10.8816263270199i</v>
      </c>
      <c r="N316" s="132" t="str">
        <f t="shared" si="92"/>
        <v>-0.000598843373692426-0.000907086988689575i</v>
      </c>
      <c r="O316" s="185">
        <f t="shared" si="93"/>
        <v>-59.275956110301713</v>
      </c>
      <c r="P316" s="185">
        <f t="shared" si="94"/>
        <v>-123.4321126503138</v>
      </c>
      <c r="Q316" s="132">
        <f t="shared" si="95"/>
        <v>3297462.5233393493</v>
      </c>
      <c r="R316" s="132">
        <f t="shared" si="106"/>
        <v>5.719999999999966</v>
      </c>
      <c r="S316" s="164">
        <f t="shared" si="96"/>
        <v>-44.229002370924697</v>
      </c>
      <c r="T316" s="132" t="str">
        <f t="shared" si="97"/>
        <v>1+45.8611087746037i</v>
      </c>
      <c r="U316" s="138">
        <f t="shared" si="98"/>
        <v>6.3039497948635823</v>
      </c>
      <c r="V316" s="132">
        <f t="shared" si="99"/>
        <v>108.90989114390069</v>
      </c>
      <c r="W316" s="132">
        <f t="shared" si="100"/>
        <v>15.130338161038264</v>
      </c>
      <c r="X316" s="138">
        <f t="shared" si="101"/>
        <v>-92.676648215269751</v>
      </c>
      <c r="Y316" s="128" t="str">
        <f t="shared" si="102"/>
        <v>-0.266580017700114-5.70220504742747i</v>
      </c>
      <c r="Z316" s="128" t="str">
        <f t="shared" si="103"/>
        <v>-25271.9576776088i</v>
      </c>
      <c r="AA316" s="128" t="str">
        <f t="shared" si="107"/>
        <v>64900-2086.399407979i</v>
      </c>
      <c r="AB316" s="128" t="str">
        <f t="shared" si="108"/>
        <v>5900-3825.06558129483i</v>
      </c>
      <c r="AC316" s="128" t="str">
        <f t="shared" si="109"/>
        <v>16262.130644756-28143.3143364081i</v>
      </c>
      <c r="AD316" s="128" t="str">
        <f t="shared" si="110"/>
        <v>5713.24486296372-3441.79186936669i</v>
      </c>
      <c r="AE316" s="128" t="str">
        <f t="shared" si="111"/>
        <v>-1.6769321786027+2.46753766365882i</v>
      </c>
      <c r="AF316" s="130"/>
      <c r="AG316" s="130"/>
      <c r="AH316" s="130"/>
      <c r="AI316" s="130"/>
      <c r="AJ316" s="130"/>
      <c r="AK316" s="130"/>
      <c r="AL316" s="130"/>
      <c r="AM316" s="130"/>
      <c r="AN316" s="130"/>
      <c r="AO316" s="130"/>
      <c r="AP316" s="130"/>
      <c r="AQ316" s="130"/>
      <c r="AR316" s="130"/>
      <c r="AS316" s="130"/>
    </row>
    <row r="317" spans="1:45" s="166" customFormat="1" x14ac:dyDescent="0.2">
      <c r="A317" s="132">
        <f t="shared" si="104"/>
        <v>38.825000000000003</v>
      </c>
      <c r="B317" s="132">
        <f t="shared" si="105"/>
        <v>5.7399999999999665</v>
      </c>
      <c r="C317" s="146">
        <f t="shared" si="84"/>
        <v>549540.87385758176</v>
      </c>
      <c r="D317" s="137">
        <f t="shared" si="85"/>
        <v>-38.825237465371202</v>
      </c>
      <c r="E317" s="132">
        <f t="shared" si="86"/>
        <v>-14.799859373712749</v>
      </c>
      <c r="G317" s="146"/>
      <c r="H317" s="184" t="str">
        <f t="shared" si="87"/>
        <v>0.5-0.00131642902998349i</v>
      </c>
      <c r="I317" s="132" t="str">
        <f t="shared" si="88"/>
        <v>0.01-0.00658214514991744i</v>
      </c>
      <c r="J317" s="132" t="str">
        <f t="shared" si="89"/>
        <v>0.00988490178080588-0.00632580438290553i</v>
      </c>
      <c r="K317" s="132"/>
      <c r="L317" s="132" t="str">
        <f t="shared" si="90"/>
        <v>0.00984292878759171-0.00623590361251591i</v>
      </c>
      <c r="M317" s="132" t="str">
        <f t="shared" si="91"/>
        <v>0.009+11.3944615762447i</v>
      </c>
      <c r="N317" s="132" t="str">
        <f t="shared" si="92"/>
        <v>-0.00054614306735736-0.000865211140502483i</v>
      </c>
      <c r="O317" s="185">
        <f t="shared" si="93"/>
        <v>-59.801103288457675</v>
      </c>
      <c r="P317" s="185">
        <f t="shared" si="94"/>
        <v>-122.26115285363946</v>
      </c>
      <c r="Q317" s="132">
        <f t="shared" si="95"/>
        <v>3452867.1443165881</v>
      </c>
      <c r="R317" s="132">
        <f t="shared" si="106"/>
        <v>5.7399999999999656</v>
      </c>
      <c r="S317" s="164">
        <f t="shared" si="96"/>
        <v>-44.754149549080665</v>
      </c>
      <c r="T317" s="132" t="str">
        <f t="shared" si="97"/>
        <v>1+48.0224762431551i</v>
      </c>
      <c r="U317" s="138">
        <f t="shared" si="98"/>
        <v>5.9289120837094602</v>
      </c>
      <c r="V317" s="132">
        <f t="shared" si="99"/>
        <v>107.46129347992671</v>
      </c>
      <c r="W317" s="132">
        <f t="shared" si="100"/>
        <v>14.729199949349933</v>
      </c>
      <c r="X317" s="138">
        <f t="shared" si="101"/>
        <v>-92.832692997093616</v>
      </c>
      <c r="Y317" s="128" t="str">
        <f t="shared" si="102"/>
        <v>-0.269376642458759-5.4441365420411i</v>
      </c>
      <c r="Z317" s="128" t="str">
        <f t="shared" si="103"/>
        <v>-24134.5322163639i</v>
      </c>
      <c r="AA317" s="128" t="str">
        <f t="shared" si="107"/>
        <v>64900-1992.49596609946i</v>
      </c>
      <c r="AB317" s="128" t="str">
        <f t="shared" si="108"/>
        <v>5900-3652.90927118234i</v>
      </c>
      <c r="AC317" s="128" t="str">
        <f t="shared" si="109"/>
        <v>15204.017961471-27504.7024781788i</v>
      </c>
      <c r="AD317" s="128" t="str">
        <f t="shared" si="110"/>
        <v>5703.26009382263-3287.20041550792i</v>
      </c>
      <c r="AE317" s="128" t="str">
        <f t="shared" si="111"/>
        <v>-1.5328438848017+2.42819799655545i</v>
      </c>
      <c r="AF317" s="130"/>
      <c r="AG317" s="130"/>
      <c r="AH317" s="130"/>
      <c r="AI317" s="130"/>
      <c r="AJ317" s="130"/>
      <c r="AK317" s="130"/>
      <c r="AL317" s="130"/>
      <c r="AM317" s="130"/>
      <c r="AN317" s="130"/>
      <c r="AO317" s="130"/>
      <c r="AP317" s="130"/>
      <c r="AQ317" s="130"/>
      <c r="AR317" s="130"/>
      <c r="AS317" s="130"/>
    </row>
    <row r="318" spans="1:45" s="166" customFormat="1" x14ac:dyDescent="0.2">
      <c r="A318" s="132">
        <f t="shared" si="104"/>
        <v>39.72</v>
      </c>
      <c r="B318" s="132">
        <f t="shared" si="105"/>
        <v>5.759999999999966</v>
      </c>
      <c r="C318" s="146">
        <f t="shared" si="84"/>
        <v>575439.93733711203</v>
      </c>
      <c r="D318" s="137">
        <f t="shared" si="85"/>
        <v>-39.720363529044668</v>
      </c>
      <c r="E318" s="132">
        <f t="shared" si="86"/>
        <v>-15.058749474152449</v>
      </c>
      <c r="G318" s="146"/>
      <c r="H318" s="184" t="str">
        <f t="shared" si="87"/>
        <v>0.5-0.00125717996365762i</v>
      </c>
      <c r="I318" s="132" t="str">
        <f t="shared" si="88"/>
        <v>0.01-0.00628589981828811i</v>
      </c>
      <c r="J318" s="132" t="str">
        <f t="shared" si="89"/>
        <v>0.00987777795827596-0.00604120165014316i</v>
      </c>
      <c r="K318" s="132"/>
      <c r="L318" s="132" t="str">
        <f t="shared" si="90"/>
        <v>0.00983340695740312-0.00595541758564295i</v>
      </c>
      <c r="M318" s="132" t="str">
        <f t="shared" si="91"/>
        <v>0.009+11.9314660061549i</v>
      </c>
      <c r="N318" s="132" t="str">
        <f t="shared" si="92"/>
        <v>-0.000498081258887588-0.000825355648410056i</v>
      </c>
      <c r="O318" s="185">
        <f t="shared" si="93"/>
        <v>-60.318455177518658</v>
      </c>
      <c r="P318" s="185">
        <f t="shared" si="94"/>
        <v>-121.1099189924998</v>
      </c>
      <c r="Q318" s="132">
        <f t="shared" si="95"/>
        <v>3615595.759440884</v>
      </c>
      <c r="R318" s="132">
        <f t="shared" si="106"/>
        <v>5.7599999999999651</v>
      </c>
      <c r="S318" s="164">
        <f t="shared" si="96"/>
        <v>-45.271501438141641</v>
      </c>
      <c r="T318" s="132" t="str">
        <f t="shared" si="97"/>
        <v>1+50.2857058223038i</v>
      </c>
      <c r="U318" s="138">
        <f t="shared" si="98"/>
        <v>5.5511379090969708</v>
      </c>
      <c r="V318" s="132">
        <f t="shared" si="99"/>
        <v>106.05116951834735</v>
      </c>
      <c r="W318" s="132">
        <f t="shared" si="100"/>
        <v>14.327949972051046</v>
      </c>
      <c r="X318" s="138">
        <f t="shared" si="101"/>
        <v>-92.994692775368264</v>
      </c>
      <c r="Y318" s="128" t="str">
        <f t="shared" si="102"/>
        <v>-0.271912632228496-5.19761385328037i</v>
      </c>
      <c r="Z318" s="128" t="str">
        <f t="shared" si="103"/>
        <v>-23048.2993337231i</v>
      </c>
      <c r="AA318" s="128" t="str">
        <f t="shared" si="107"/>
        <v>64900-1902.8188753026i</v>
      </c>
      <c r="AB318" s="128" t="str">
        <f t="shared" si="108"/>
        <v>5900-3488.50127138811i</v>
      </c>
      <c r="AC318" s="128" t="str">
        <f t="shared" si="109"/>
        <v>14191.5434352395-26840.6966909816i</v>
      </c>
      <c r="AD318" s="128" t="str">
        <f t="shared" si="110"/>
        <v>5694.15220898559-3139.5261659376i</v>
      </c>
      <c r="AE318" s="128" t="str">
        <f t="shared" si="111"/>
        <v>-1.39715464020615+2.38210078890454i</v>
      </c>
      <c r="AF318" s="130"/>
      <c r="AG318" s="130"/>
      <c r="AH318" s="130"/>
      <c r="AI318" s="130"/>
      <c r="AJ318" s="130"/>
      <c r="AK318" s="130"/>
      <c r="AL318" s="130"/>
      <c r="AM318" s="130"/>
      <c r="AN318" s="130"/>
      <c r="AO318" s="130"/>
      <c r="AP318" s="130"/>
      <c r="AQ318" s="130"/>
      <c r="AR318" s="130"/>
      <c r="AS318" s="130"/>
    </row>
    <row r="319" spans="1:45" s="166" customFormat="1" x14ac:dyDescent="0.2">
      <c r="A319" s="132">
        <f t="shared" si="104"/>
        <v>40.61</v>
      </c>
      <c r="B319" s="132">
        <f t="shared" si="105"/>
        <v>5.7799999999999656</v>
      </c>
      <c r="C319" s="146">
        <f t="shared" si="84"/>
        <v>602559.58607430954</v>
      </c>
      <c r="D319" s="137">
        <f t="shared" si="85"/>
        <v>-40.610471719177795</v>
      </c>
      <c r="E319" s="132">
        <f t="shared" si="86"/>
        <v>-15.303719043304227</v>
      </c>
      <c r="G319" s="146"/>
      <c r="H319" s="184" t="str">
        <f t="shared" si="87"/>
        <v>0.5-0.00120059754458773i</v>
      </c>
      <c r="I319" s="132" t="str">
        <f t="shared" si="88"/>
        <v>0.01-0.00600298772293865i</v>
      </c>
      <c r="J319" s="132" t="str">
        <f t="shared" si="89"/>
        <v>0.00987128069278929-0.00576939455832354i</v>
      </c>
      <c r="K319" s="132"/>
      <c r="L319" s="132" t="str">
        <f t="shared" si="90"/>
        <v>0.00982472239670986-0.0056875328257604i</v>
      </c>
      <c r="M319" s="132" t="str">
        <f t="shared" si="91"/>
        <v>0.009+12.4937786751436i</v>
      </c>
      <c r="N319" s="132" t="str">
        <f t="shared" si="92"/>
        <v>-0.000454249568468978-0.000787412055747541i</v>
      </c>
      <c r="O319" s="185">
        <f t="shared" si="93"/>
        <v>-60.828304944028758</v>
      </c>
      <c r="P319" s="185">
        <f t="shared" si="94"/>
        <v>-119.98018619780771</v>
      </c>
      <c r="Q319" s="132">
        <f t="shared" si="95"/>
        <v>3785993.5379223148</v>
      </c>
      <c r="R319" s="132">
        <f t="shared" si="106"/>
        <v>5.7799999999999647</v>
      </c>
      <c r="S319" s="164">
        <f t="shared" si="96"/>
        <v>-45.781351204651735</v>
      </c>
      <c r="T319" s="132" t="str">
        <f t="shared" si="97"/>
        <v>1+52.6555981254236i</v>
      </c>
      <c r="U319" s="138">
        <f t="shared" si="98"/>
        <v>5.1708794854739359</v>
      </c>
      <c r="V319" s="132">
        <f t="shared" si="99"/>
        <v>104.67646715450348</v>
      </c>
      <c r="W319" s="132">
        <f t="shared" si="100"/>
        <v>13.926577719470725</v>
      </c>
      <c r="X319" s="138">
        <f t="shared" si="101"/>
        <v>-93.162983260992178</v>
      </c>
      <c r="Y319" s="128" t="str">
        <f t="shared" si="102"/>
        <v>-0.274209525259085-4.96211455375724i</v>
      </c>
      <c r="Z319" s="128" t="str">
        <f t="shared" si="103"/>
        <v>-22010.9549841084i</v>
      </c>
      <c r="AA319" s="128" t="str">
        <f t="shared" si="107"/>
        <v>64900-1817.17791845563i</v>
      </c>
      <c r="AB319" s="128" t="str">
        <f t="shared" si="108"/>
        <v>5900-3331.492850502i</v>
      </c>
      <c r="AC319" s="128" t="str">
        <f t="shared" si="109"/>
        <v>13225.8291836992-26155.4333059379i</v>
      </c>
      <c r="AD319" s="128" t="str">
        <f t="shared" si="110"/>
        <v>5685.84433224969-2998.4630182335i</v>
      </c>
      <c r="AE319" s="128" t="str">
        <f t="shared" si="111"/>
        <v>-1.26984430789935+2.33041620152714i</v>
      </c>
      <c r="AF319" s="130"/>
      <c r="AG319" s="130"/>
      <c r="AH319" s="130"/>
      <c r="AI319" s="130"/>
      <c r="AJ319" s="130"/>
      <c r="AK319" s="130"/>
      <c r="AL319" s="130"/>
      <c r="AM319" s="130"/>
      <c r="AN319" s="130"/>
      <c r="AO319" s="130"/>
      <c r="AP319" s="130"/>
      <c r="AQ319" s="130"/>
      <c r="AR319" s="130"/>
      <c r="AS319" s="130"/>
    </row>
    <row r="320" spans="1:45" s="166" customFormat="1" x14ac:dyDescent="0.2">
      <c r="A320" s="132">
        <f t="shared" si="104"/>
        <v>41.496000000000002</v>
      </c>
      <c r="B320" s="132">
        <f t="shared" si="105"/>
        <v>5.7999999999999652</v>
      </c>
      <c r="C320" s="146">
        <f t="shared" si="84"/>
        <v>630957.34448014258</v>
      </c>
      <c r="D320" s="137">
        <f t="shared" si="85"/>
        <v>-41.495647087406766</v>
      </c>
      <c r="E320" s="132">
        <f t="shared" si="86"/>
        <v>-15.539339947924603</v>
      </c>
      <c r="G320" s="146"/>
      <c r="H320" s="184" t="str">
        <f t="shared" si="87"/>
        <v>0.5-0.00114656175387682i</v>
      </c>
      <c r="I320" s="132" t="str">
        <f t="shared" si="88"/>
        <v>0.01-0.00573280876938411i</v>
      </c>
      <c r="J320" s="132" t="str">
        <f t="shared" si="89"/>
        <v>0.00986535489820327-0.00550980896184826i</v>
      </c>
      <c r="K320" s="132"/>
      <c r="L320" s="132" t="str">
        <f t="shared" si="90"/>
        <v>0.00981680152708279-0.00543168510745975i</v>
      </c>
      <c r="M320" s="132" t="str">
        <f t="shared" si="91"/>
        <v>0.009+13.0825923237724i</v>
      </c>
      <c r="N320" s="132" t="str">
        <f t="shared" si="92"/>
        <v>-0.000414275589962429-0.000751279053618757i</v>
      </c>
      <c r="O320" s="185">
        <f t="shared" si="93"/>
        <v>-61.33095939464377</v>
      </c>
      <c r="P320" s="185">
        <f t="shared" si="94"/>
        <v>-118.87353039823824</v>
      </c>
      <c r="Q320" s="132">
        <f t="shared" si="95"/>
        <v>3964421.9162946804</v>
      </c>
      <c r="R320" s="132">
        <f t="shared" si="106"/>
        <v>5.7999999999999643</v>
      </c>
      <c r="S320" s="164">
        <f t="shared" si="96"/>
        <v>-46.284005655266753</v>
      </c>
      <c r="T320" s="132" t="str">
        <f t="shared" si="97"/>
        <v>1+55.1371800118264i</v>
      </c>
      <c r="U320" s="138">
        <f t="shared" si="98"/>
        <v>4.7883585678599854</v>
      </c>
      <c r="V320" s="132">
        <f t="shared" si="99"/>
        <v>103.33419045031364</v>
      </c>
      <c r="W320" s="132">
        <f t="shared" si="100"/>
        <v>13.525071664358331</v>
      </c>
      <c r="X320" s="138">
        <f t="shared" si="101"/>
        <v>-93.337912346254143</v>
      </c>
      <c r="Y320" s="128" t="str">
        <f t="shared" si="102"/>
        <v>-0.276286833544625-4.73713957019681i</v>
      </c>
      <c r="Z320" s="128" t="str">
        <f t="shared" si="103"/>
        <v>-21020.2988210751i</v>
      </c>
      <c r="AA320" s="128" t="str">
        <f t="shared" si="107"/>
        <v>64900-1735.391439607i</v>
      </c>
      <c r="AB320" s="128" t="str">
        <f t="shared" si="108"/>
        <v>5900-3181.55097261283i</v>
      </c>
      <c r="AC320" s="128" t="str">
        <f t="shared" si="109"/>
        <v>12307.5187556231-25452.9774400676i</v>
      </c>
      <c r="AD320" s="128" t="str">
        <f t="shared" si="110"/>
        <v>5678.26630464769-2863.71797500522i</v>
      </c>
      <c r="AE320" s="128" t="str">
        <f t="shared" si="111"/>
        <v>-1.15078118821666+2.27420363756025i</v>
      </c>
      <c r="AF320" s="130"/>
      <c r="AG320" s="130"/>
      <c r="AH320" s="130"/>
      <c r="AI320" s="130"/>
      <c r="AJ320" s="130"/>
      <c r="AK320" s="130"/>
      <c r="AL320" s="130"/>
      <c r="AM320" s="130"/>
      <c r="AN320" s="130"/>
      <c r="AO320" s="130"/>
      <c r="AP320" s="130"/>
      <c r="AQ320" s="130"/>
      <c r="AR320" s="130"/>
      <c r="AS320" s="130"/>
    </row>
    <row r="321" spans="1:100" s="166" customFormat="1" x14ac:dyDescent="0.2">
      <c r="A321" s="132">
        <f t="shared" si="104"/>
        <v>42.375999999999998</v>
      </c>
      <c r="B321" s="132">
        <f t="shared" si="105"/>
        <v>5.8199999999999639</v>
      </c>
      <c r="C321" s="146">
        <f t="shared" si="84"/>
        <v>660693.44800754171</v>
      </c>
      <c r="D321" s="137">
        <f t="shared" si="85"/>
        <v>-42.376012136068333</v>
      </c>
      <c r="E321" s="132">
        <f t="shared" si="86"/>
        <v>-15.769926513584409</v>
      </c>
      <c r="G321" s="146"/>
      <c r="H321" s="184" t="str">
        <f t="shared" si="87"/>
        <v>0.5-0.0010949579743681i</v>
      </c>
      <c r="I321" s="132" t="str">
        <f t="shared" si="88"/>
        <v>0.01-0.00547478987184053i</v>
      </c>
      <c r="J321" s="132" t="str">
        <f t="shared" si="89"/>
        <v>0.00985995032794504-0.00526189632986904i</v>
      </c>
      <c r="K321" s="132"/>
      <c r="L321" s="132" t="str">
        <f t="shared" si="90"/>
        <v>0.00980957722869361-0.0051873352226339i</v>
      </c>
      <c r="M321" s="132" t="str">
        <f t="shared" si="91"/>
        <v>0.009+13.6991559047337i</v>
      </c>
      <c r="N321" s="132" t="str">
        <f t="shared" si="92"/>
        <v>-0.000377819718786825-0.000716861865721599i</v>
      </c>
      <c r="O321" s="185">
        <f t="shared" si="93"/>
        <v>-61.826735419586299</v>
      </c>
      <c r="P321" s="185">
        <f t="shared" si="94"/>
        <v>-117.79132700918822</v>
      </c>
      <c r="Q321" s="132">
        <f t="shared" si="95"/>
        <v>4151259.3650708059</v>
      </c>
      <c r="R321" s="132">
        <f t="shared" si="106"/>
        <v>5.8199999999999639</v>
      </c>
      <c r="S321" s="164">
        <f t="shared" si="96"/>
        <v>-46.779781680209283</v>
      </c>
      <c r="T321" s="132" t="str">
        <f t="shared" si="97"/>
        <v>1+57.7357152494048i</v>
      </c>
      <c r="U321" s="138">
        <f t="shared" si="98"/>
        <v>4.4037695441409506</v>
      </c>
      <c r="V321" s="132">
        <f t="shared" si="99"/>
        <v>102.02140049560381</v>
      </c>
      <c r="W321" s="132">
        <f t="shared" si="100"/>
        <v>13.123419168126722</v>
      </c>
      <c r="X321" s="138">
        <f t="shared" si="101"/>
        <v>-93.519840672493217</v>
      </c>
      <c r="Y321" s="128" t="str">
        <f t="shared" si="102"/>
        <v>-0.27816220891401-4.52221213339827i</v>
      </c>
      <c r="Z321" s="128" t="str">
        <f t="shared" si="103"/>
        <v>-20074.2295300819i</v>
      </c>
      <c r="AA321" s="128" t="str">
        <f t="shared" si="107"/>
        <v>64900-1657.28595866975i</v>
      </c>
      <c r="AB321" s="128" t="str">
        <f t="shared" si="108"/>
        <v>5900-3038.35759089455i</v>
      </c>
      <c r="AC321" s="128" t="str">
        <f t="shared" si="109"/>
        <v>11436.8126057905-24737.2687763117i</v>
      </c>
      <c r="AD321" s="128" t="str">
        <f t="shared" si="110"/>
        <v>5671.35410129611-2735.01064032853i</v>
      </c>
      <c r="AE321" s="128" t="str">
        <f t="shared" si="111"/>
        <v>-1.03974734444692+2.21441188563593i</v>
      </c>
      <c r="AF321" s="130"/>
      <c r="AG321" s="130"/>
      <c r="AH321" s="130"/>
      <c r="AI321" s="130"/>
      <c r="AJ321" s="130"/>
      <c r="AK321" s="130"/>
      <c r="AL321" s="130"/>
      <c r="AM321" s="130"/>
      <c r="AN321" s="130"/>
      <c r="AO321" s="130"/>
      <c r="AP321" s="130"/>
      <c r="AQ321" s="130"/>
      <c r="AR321" s="130"/>
      <c r="AS321" s="130"/>
    </row>
    <row r="322" spans="1:100" s="166" customFormat="1" x14ac:dyDescent="0.2">
      <c r="A322" s="132">
        <f t="shared" si="104"/>
        <v>43.252000000000002</v>
      </c>
      <c r="B322" s="132">
        <f t="shared" si="105"/>
        <v>5.8399999999999643</v>
      </c>
      <c r="C322" s="146">
        <f t="shared" si="84"/>
        <v>691830.9709188795</v>
      </c>
      <c r="D322" s="137">
        <f t="shared" si="85"/>
        <v>-43.251720674890549</v>
      </c>
      <c r="E322" s="132">
        <f t="shared" si="86"/>
        <v>-15.99953811764253</v>
      </c>
      <c r="G322" s="146"/>
      <c r="H322" s="184" t="str">
        <f t="shared" si="87"/>
        <v>0.5-0.00104567674752659i</v>
      </c>
      <c r="I322" s="132" t="str">
        <f t="shared" si="88"/>
        <v>0.01-0.00522838373763293i</v>
      </c>
      <c r="J322" s="132" t="str">
        <f t="shared" si="89"/>
        <v>0.00985502115042818-0.00502513262257141i</v>
      </c>
      <c r="K322" s="132"/>
      <c r="L322" s="132" t="str">
        <f t="shared" si="90"/>
        <v>0.00980298827463421-0.00495396790307862i</v>
      </c>
      <c r="M322" s="132" t="str">
        <f t="shared" si="91"/>
        <v>0.009+14.3447772320467i</v>
      </c>
      <c r="N322" s="132" t="str">
        <f t="shared" si="92"/>
        <v>-0.000344572260057038-0.000684071698939845i</v>
      </c>
      <c r="O322" s="185">
        <f t="shared" si="93"/>
        <v>-62.315956581823741</v>
      </c>
      <c r="P322" s="185">
        <f t="shared" si="94"/>
        <v>-116.73475266386174</v>
      </c>
      <c r="Q322" s="132">
        <f t="shared" si="95"/>
        <v>4346902.1915292917</v>
      </c>
      <c r="R322" s="132">
        <f t="shared" si="106"/>
        <v>5.8399999999999634</v>
      </c>
      <c r="S322" s="164">
        <f t="shared" si="96"/>
        <v>-47.269002842446717</v>
      </c>
      <c r="T322" s="132" t="str">
        <f t="shared" si="97"/>
        <v>1+60.4567156797894i</v>
      </c>
      <c r="U322" s="138">
        <f t="shared" si="98"/>
        <v>4.0172821675561714</v>
      </c>
      <c r="V322" s="132">
        <f t="shared" si="99"/>
        <v>100.73521454621921</v>
      </c>
      <c r="W322" s="132">
        <f t="shared" si="100"/>
        <v>12.721606378479768</v>
      </c>
      <c r="X322" s="138">
        <f t="shared" si="101"/>
        <v>-93.709142200156023</v>
      </c>
      <c r="Y322" s="128" t="str">
        <f t="shared" si="102"/>
        <v>-0.27985159345986-4.31687677511322i</v>
      </c>
      <c r="Z322" s="128" t="str">
        <f t="shared" si="103"/>
        <v>-19170.7403713208i</v>
      </c>
      <c r="AA322" s="128" t="str">
        <f t="shared" si="107"/>
        <v>64900-1582.69580344704i</v>
      </c>
      <c r="AB322" s="128" t="str">
        <f t="shared" si="108"/>
        <v>5900-2901.60897298624i</v>
      </c>
      <c r="AC322" s="128" t="str">
        <f t="shared" si="109"/>
        <v>10613.5088580754-24012.0761504459i</v>
      </c>
      <c r="AD322" s="128" t="str">
        <f t="shared" si="110"/>
        <v>5665.04929823197-2612.07272780265i</v>
      </c>
      <c r="AE322" s="128" t="str">
        <f t="shared" si="111"/>
        <v>-0.936460389783661+2.15188245934615i</v>
      </c>
      <c r="AF322" s="130"/>
      <c r="AG322" s="130"/>
      <c r="AH322" s="130"/>
      <c r="AI322" s="130"/>
      <c r="AJ322" s="130"/>
      <c r="AK322" s="130"/>
      <c r="AL322" s="130"/>
      <c r="AM322" s="130"/>
      <c r="AN322" s="130"/>
      <c r="AO322" s="130"/>
      <c r="AP322" s="130"/>
      <c r="AQ322" s="130"/>
      <c r="AR322" s="130"/>
      <c r="AS322" s="130"/>
    </row>
    <row r="323" spans="1:100" s="166" customFormat="1" x14ac:dyDescent="0.2">
      <c r="A323" s="132">
        <f t="shared" si="104"/>
        <v>44.122999999999998</v>
      </c>
      <c r="B323" s="132">
        <f t="shared" si="105"/>
        <v>5.859999999999963</v>
      </c>
      <c r="C323" s="146">
        <f t="shared" si="84"/>
        <v>724435.96007492894</v>
      </c>
      <c r="D323" s="137">
        <f t="shared" si="85"/>
        <v>-44.122952217950562</v>
      </c>
      <c r="E323" s="132">
        <f t="shared" si="86"/>
        <v>-16.231985821038251</v>
      </c>
      <c r="G323" s="146"/>
      <c r="H323" s="184" t="str">
        <f t="shared" si="87"/>
        <v>0.5-0.000998613541262905i</v>
      </c>
      <c r="I323" s="132" t="str">
        <f t="shared" si="88"/>
        <v>0.01-0.0049930677063145i</v>
      </c>
      <c r="J323" s="132" t="str">
        <f t="shared" si="89"/>
        <v>0.0098505255616189-0.00479901721428146i</v>
      </c>
      <c r="K323" s="132"/>
      <c r="L323" s="132" t="str">
        <f t="shared" si="90"/>
        <v>0.00979697881457121-0.00473109078533579i</v>
      </c>
      <c r="M323" s="132" t="str">
        <f t="shared" si="91"/>
        <v>0.009+15.0208257551066i</v>
      </c>
      <c r="N323" s="132" t="str">
        <f t="shared" si="92"/>
        <v>-0.000314250792126427-0.000652825251784356i</v>
      </c>
      <c r="O323" s="185">
        <f t="shared" si="93"/>
        <v>-62.79894991166298</v>
      </c>
      <c r="P323" s="185">
        <f t="shared" si="94"/>
        <v>-115.70478964757916</v>
      </c>
      <c r="Q323" s="132">
        <f t="shared" si="95"/>
        <v>4551765.380335331</v>
      </c>
      <c r="R323" s="132">
        <f t="shared" si="106"/>
        <v>5.859999999999963</v>
      </c>
      <c r="S323" s="164">
        <f t="shared" si="96"/>
        <v>-47.751996172285956</v>
      </c>
      <c r="T323" s="132" t="str">
        <f t="shared" si="97"/>
        <v>1+63.3059529097038i</v>
      </c>
      <c r="U323" s="138">
        <f t="shared" si="98"/>
        <v>3.6290439543353923</v>
      </c>
      <c r="V323" s="132">
        <f t="shared" si="99"/>
        <v>99.472803826540911</v>
      </c>
      <c r="W323" s="132">
        <f t="shared" si="100"/>
        <v>12.319618117718692</v>
      </c>
      <c r="X323" s="138">
        <f t="shared" si="101"/>
        <v>-93.906204778944769</v>
      </c>
      <c r="Y323" s="128" t="str">
        <f t="shared" si="102"/>
        <v>-0.28136935560174-4.12069836986497i</v>
      </c>
      <c r="Z323" s="128" t="str">
        <f t="shared" si="103"/>
        <v>-18307.9149231532i</v>
      </c>
      <c r="AA323" s="128" t="str">
        <f t="shared" si="107"/>
        <v>64900-1511.46275821917i</v>
      </c>
      <c r="AB323" s="128" t="str">
        <f t="shared" si="108"/>
        <v>5900-2771.01505673514i</v>
      </c>
      <c r="AC323" s="128" t="str">
        <f t="shared" si="109"/>
        <v>9837.04748601731-23280.9610773411i</v>
      </c>
      <c r="AD323" s="128" t="str">
        <f t="shared" si="110"/>
        <v>5659.29858506052-2494.64758111391i</v>
      </c>
      <c r="AE323" s="128" t="str">
        <f t="shared" si="111"/>
        <v>-0.840591862702813+2.08735511941464i</v>
      </c>
      <c r="AF323" s="130"/>
      <c r="AG323" s="130"/>
      <c r="AH323" s="130"/>
      <c r="AI323" s="130"/>
      <c r="AJ323" s="130"/>
      <c r="AK323" s="130"/>
      <c r="AL323" s="130"/>
      <c r="AM323" s="130"/>
      <c r="AN323" s="130"/>
      <c r="AO323" s="130"/>
      <c r="AP323" s="130"/>
      <c r="AQ323" s="130"/>
      <c r="AR323" s="130"/>
      <c r="AS323" s="130"/>
    </row>
    <row r="324" spans="1:100" s="166" customFormat="1" x14ac:dyDescent="0.2">
      <c r="A324" s="132">
        <f t="shared" si="104"/>
        <v>44.99</v>
      </c>
      <c r="B324" s="132">
        <f t="shared" si="105"/>
        <v>5.8799999999999635</v>
      </c>
      <c r="C324" s="146">
        <f t="shared" si="84"/>
        <v>758577.57502911962</v>
      </c>
      <c r="D324" s="137">
        <f t="shared" si="85"/>
        <v>-44.989906941337182</v>
      </c>
      <c r="E324" s="132">
        <f t="shared" si="86"/>
        <v>-16.470842347194335</v>
      </c>
      <c r="G324" s="146"/>
      <c r="H324" s="184" t="str">
        <f t="shared" si="87"/>
        <v>0.5-0.000953668528206687i</v>
      </c>
      <c r="I324" s="132" t="str">
        <f t="shared" si="88"/>
        <v>0.01-0.00476834264103341i</v>
      </c>
      <c r="J324" s="132" t="str">
        <f t="shared" si="89"/>
        <v>0.00984642543151768-0.00458307186176968i</v>
      </c>
      <c r="K324" s="132"/>
      <c r="L324" s="132" t="str">
        <f t="shared" si="90"/>
        <v>0.0097914979034694-0.00451823341667953i</v>
      </c>
      <c r="M324" s="132" t="str">
        <f t="shared" si="91"/>
        <v>0.009+15.7287354634703i</v>
      </c>
      <c r="N324" s="132" t="str">
        <f t="shared" si="92"/>
        <v>-0.000286597762901792-0.000623044273771885i</v>
      </c>
      <c r="O324" s="185">
        <f t="shared" si="93"/>
        <v>-63.276042953095953</v>
      </c>
      <c r="P324" s="185">
        <f t="shared" si="94"/>
        <v>-114.7022326560118</v>
      </c>
      <c r="Q324" s="132">
        <f t="shared" si="95"/>
        <v>4766283.4737788849</v>
      </c>
      <c r="R324" s="132">
        <f t="shared" si="106"/>
        <v>5.8799999999999626</v>
      </c>
      <c r="S324" s="164">
        <f t="shared" si="96"/>
        <v>-48.229089213718936</v>
      </c>
      <c r="T324" s="132" t="str">
        <f t="shared" si="97"/>
        <v>1+66.2894705533167i</v>
      </c>
      <c r="U324" s="138">
        <f t="shared" si="98"/>
        <v>3.2391822723817554</v>
      </c>
      <c r="V324" s="132">
        <f t="shared" si="99"/>
        <v>98.231390308817467</v>
      </c>
      <c r="W324" s="132">
        <f t="shared" si="100"/>
        <v>11.91743776097274</v>
      </c>
      <c r="X324" s="138">
        <f t="shared" si="101"/>
        <v>-94.111430715265882</v>
      </c>
      <c r="Y324" s="128" t="str">
        <f t="shared" si="102"/>
        <v>-0.282728412962278-3.93326121982064i</v>
      </c>
      <c r="Z324" s="128" t="str">
        <f t="shared" si="103"/>
        <v>-17483.9230171225i</v>
      </c>
      <c r="AA324" s="128" t="str">
        <f t="shared" si="107"/>
        <v>64900-1443.43572814682i</v>
      </c>
      <c r="AB324" s="128" t="str">
        <f t="shared" si="108"/>
        <v>5900-2646.29883493583i</v>
      </c>
      <c r="AC324" s="128" t="str">
        <f t="shared" si="109"/>
        <v>9106.55619873673-22547.2499954664i</v>
      </c>
      <c r="AD324" s="128" t="str">
        <f t="shared" si="110"/>
        <v>5654.05331956792-2382.48970777138i</v>
      </c>
      <c r="AE324" s="128" t="str">
        <f t="shared" si="111"/>
        <v>-0.751782448494377+2.02147477181324i</v>
      </c>
      <c r="AF324" s="130"/>
      <c r="AG324" s="130"/>
      <c r="AH324" s="130"/>
      <c r="AI324" s="130"/>
      <c r="AJ324" s="130"/>
      <c r="AK324" s="130"/>
      <c r="AL324" s="130"/>
      <c r="AM324" s="130"/>
      <c r="AN324" s="130"/>
      <c r="AO324" s="130"/>
      <c r="AP324" s="130"/>
      <c r="AQ324" s="130"/>
      <c r="AR324" s="130"/>
      <c r="AS324" s="130"/>
    </row>
    <row r="325" spans="1:100" s="166" customFormat="1" x14ac:dyDescent="0.2">
      <c r="A325" s="132">
        <f t="shared" si="104"/>
        <v>45.853000000000002</v>
      </c>
      <c r="B325" s="132">
        <f t="shared" si="105"/>
        <v>5.8999999999999622</v>
      </c>
      <c r="C325" s="146">
        <f t="shared" si="84"/>
        <v>794328.23472421279</v>
      </c>
      <c r="D325" s="137">
        <f t="shared" si="85"/>
        <v>-45.852801209108044</v>
      </c>
      <c r="E325" s="132">
        <f t="shared" si="86"/>
        <v>-16.719454759430064</v>
      </c>
      <c r="G325" s="146"/>
      <c r="H325" s="184" t="str">
        <f t="shared" si="87"/>
        <v>0.5-0.000910746373959355i</v>
      </c>
      <c r="I325" s="132" t="str">
        <f t="shared" si="88"/>
        <v>0.01-0.0045537318697968i</v>
      </c>
      <c r="J325" s="132" t="str">
        <f t="shared" si="89"/>
        <v>0.00984268598160168-0.00437683971614001i</v>
      </c>
      <c r="K325" s="132"/>
      <c r="L325" s="132" t="str">
        <f t="shared" si="90"/>
        <v>0.0097864990714793-0.00431494630109401i</v>
      </c>
      <c r="M325" s="132" t="str">
        <f t="shared" si="91"/>
        <v>0.009+16.4700079285403i</v>
      </c>
      <c r="N325" s="132" t="str">
        <f t="shared" si="92"/>
        <v>-0.000261378298316555-0.000594655169703424i</v>
      </c>
      <c r="O325" s="185">
        <f t="shared" si="93"/>
        <v>-63.747561094948615</v>
      </c>
      <c r="P325" s="185">
        <f t="shared" si="94"/>
        <v>-113.72769747807929</v>
      </c>
      <c r="Q325" s="132">
        <f t="shared" si="95"/>
        <v>4990911.4934970718</v>
      </c>
      <c r="R325" s="132">
        <f t="shared" si="106"/>
        <v>5.8999999999999622</v>
      </c>
      <c r="S325" s="164">
        <f t="shared" si="96"/>
        <v>-48.700607355571606</v>
      </c>
      <c r="T325" s="132" t="str">
        <f t="shared" si="97"/>
        <v>1+69.4135970515573i</v>
      </c>
      <c r="U325" s="138">
        <f t="shared" si="98"/>
        <v>2.8478061464635607</v>
      </c>
      <c r="V325" s="132">
        <f t="shared" si="99"/>
        <v>97.008242718649228</v>
      </c>
      <c r="W325" s="132">
        <f t="shared" si="100"/>
        <v>11.515047103553336</v>
      </c>
      <c r="X325" s="138">
        <f t="shared" si="101"/>
        <v>-94.325237333634945</v>
      </c>
      <c r="Y325" s="128" t="str">
        <f t="shared" si="102"/>
        <v>-0.283940343128257-3.75416818091635i</v>
      </c>
      <c r="Z325" s="128" t="str">
        <f t="shared" si="103"/>
        <v>-16697.0168559216i</v>
      </c>
      <c r="AA325" s="128" t="str">
        <f t="shared" si="107"/>
        <v>64900-1378.47041877866i</v>
      </c>
      <c r="AB325" s="128" t="str">
        <f t="shared" si="108"/>
        <v>5900-2527.19576776088i</v>
      </c>
      <c r="AC325" s="128" t="str">
        <f t="shared" si="109"/>
        <v>8420.89653133495-21814.0147266772i</v>
      </c>
      <c r="AD325" s="128" t="str">
        <f t="shared" si="110"/>
        <v>5649.26912075955-2275.36432649501i</v>
      </c>
      <c r="AE325" s="128" t="str">
        <f t="shared" si="111"/>
        <v>-0.669654374462466+1.95479912032271i</v>
      </c>
      <c r="AF325" s="130"/>
      <c r="AG325" s="130"/>
      <c r="AH325" s="130"/>
      <c r="AI325" s="130"/>
      <c r="AJ325" s="130"/>
      <c r="AK325" s="130"/>
      <c r="AL325" s="130"/>
      <c r="AM325" s="130"/>
      <c r="AN325" s="130"/>
      <c r="AO325" s="130"/>
      <c r="AP325" s="130"/>
      <c r="AQ325" s="130"/>
      <c r="AR325" s="130"/>
      <c r="AS325" s="130"/>
    </row>
    <row r="326" spans="1:100" s="166" customFormat="1" x14ac:dyDescent="0.2">
      <c r="A326" s="132">
        <f t="shared" si="104"/>
        <v>46.712000000000003</v>
      </c>
      <c r="B326" s="132">
        <f t="shared" si="105"/>
        <v>5.9199999999999626</v>
      </c>
      <c r="C326" s="146">
        <f t="shared" si="84"/>
        <v>831763.77110259887</v>
      </c>
      <c r="D326" s="137">
        <f t="shared" si="85"/>
        <v>-46.71186366390917</v>
      </c>
      <c r="E326" s="132">
        <f t="shared" si="86"/>
        <v>-16.980959238687277</v>
      </c>
      <c r="G326" s="146"/>
      <c r="H326" s="184" t="str">
        <f t="shared" si="87"/>
        <v>0.5-0.000869756034877094i</v>
      </c>
      <c r="I326" s="132" t="str">
        <f t="shared" si="88"/>
        <v>0.01-0.00434878017438547i</v>
      </c>
      <c r="J326" s="132" t="str">
        <f t="shared" si="89"/>
        <v>0.00983927549052814-0.00417988437670839i</v>
      </c>
      <c r="K326" s="132"/>
      <c r="L326" s="132" t="str">
        <f t="shared" si="90"/>
        <v>0.00978193993141756-0.00412079998405271i</v>
      </c>
      <c r="M326" s="132" t="str">
        <f t="shared" si="91"/>
        <v>0.009+17.2462154885992i</v>
      </c>
      <c r="N326" s="132" t="str">
        <f t="shared" si="92"/>
        <v>-0.000238378204184056-0.000567588643564952i</v>
      </c>
      <c r="O326" s="185">
        <f t="shared" si="93"/>
        <v>-64.213825207304069</v>
      </c>
      <c r="P326" s="185">
        <f t="shared" si="94"/>
        <v>-112.78163120241157</v>
      </c>
      <c r="Q326" s="132">
        <f t="shared" si="95"/>
        <v>5226125.9056361336</v>
      </c>
      <c r="R326" s="132">
        <f t="shared" si="106"/>
        <v>5.9199999999999617</v>
      </c>
      <c r="S326" s="164">
        <f t="shared" si="96"/>
        <v>-49.166871467927052</v>
      </c>
      <c r="T326" s="132" t="str">
        <f t="shared" si="97"/>
        <v>1+72.6849590955873i</v>
      </c>
      <c r="U326" s="138">
        <f t="shared" si="98"/>
        <v>2.4550078040178787</v>
      </c>
      <c r="V326" s="132">
        <f t="shared" si="99"/>
        <v>95.800671963724298</v>
      </c>
      <c r="W326" s="132">
        <f t="shared" si="100"/>
        <v>11.112426216583213</v>
      </c>
      <c r="X326" s="138">
        <f t="shared" si="101"/>
        <v>-94.548057528063836</v>
      </c>
      <c r="Y326" s="128" t="str">
        <f t="shared" si="102"/>
        <v>-0.285015483272267-3.58303982852164i</v>
      </c>
      <c r="Z326" s="128" t="str">
        <f t="shared" si="103"/>
        <v>-15945.5273060801i</v>
      </c>
      <c r="AA326" s="128" t="str">
        <f t="shared" si="107"/>
        <v>64900-1316.42902998349i</v>
      </c>
      <c r="AB326" s="128" t="str">
        <f t="shared" si="108"/>
        <v>5900-2413.45322163639i</v>
      </c>
      <c r="AC326" s="128" t="str">
        <f t="shared" si="109"/>
        <v>7778.70888054662-21084.0604403176i</v>
      </c>
      <c r="AD326" s="128" t="str">
        <f t="shared" si="110"/>
        <v>5644.90549707114-2173.04692857863i</v>
      </c>
      <c r="AE326" s="128" t="str">
        <f t="shared" si="111"/>
        <v>-0.593821332948231+1.8878066101545i</v>
      </c>
      <c r="AF326" s="130"/>
      <c r="AG326" s="130"/>
      <c r="AH326" s="130"/>
      <c r="AI326" s="130"/>
      <c r="AJ326" s="130"/>
      <c r="AK326" s="130"/>
      <c r="AL326" s="130"/>
      <c r="AM326" s="130"/>
      <c r="AN326" s="130"/>
      <c r="AO326" s="130"/>
      <c r="AP326" s="130"/>
      <c r="AQ326" s="130"/>
      <c r="AR326" s="130"/>
      <c r="AS326" s="130"/>
    </row>
    <row r="327" spans="1:100" s="166" customFormat="1" x14ac:dyDescent="0.2">
      <c r="A327" s="132">
        <f t="shared" si="104"/>
        <v>47.567</v>
      </c>
      <c r="B327" s="132">
        <f t="shared" si="105"/>
        <v>5.9399999999999622</v>
      </c>
      <c r="C327" s="146">
        <f t="shared" si="84"/>
        <v>870963.58995600487</v>
      </c>
      <c r="D327" s="137">
        <f t="shared" si="85"/>
        <v>-47.567331869195257</v>
      </c>
      <c r="E327" s="132">
        <f t="shared" si="86"/>
        <v>-17.258297419452106</v>
      </c>
      <c r="G327" s="146"/>
      <c r="H327" s="184" t="str">
        <f t="shared" si="87"/>
        <v>0.5-0.000830610564955027i</v>
      </c>
      <c r="I327" s="132" t="str">
        <f t="shared" si="88"/>
        <v>0.01-0.00415305282477513i</v>
      </c>
      <c r="J327" s="132" t="str">
        <f t="shared" si="89"/>
        <v>0.00983616502563236-0.00399178898530104i</v>
      </c>
      <c r="K327" s="132"/>
      <c r="L327" s="132" t="str">
        <f t="shared" si="90"/>
        <v>0.00977778182057555-0.00393538417488531i</v>
      </c>
      <c r="M327" s="132" t="str">
        <f t="shared" si="91"/>
        <v>0.009+18.0590045839499i</v>
      </c>
      <c r="N327" s="132" t="str">
        <f t="shared" si="92"/>
        <v>-0.000217402144323537-0.000541779377435501i</v>
      </c>
      <c r="O327" s="185">
        <f t="shared" si="93"/>
        <v>-64.675149592281585</v>
      </c>
      <c r="P327" s="185">
        <f t="shared" si="94"/>
        <v>-111.86432355962135</v>
      </c>
      <c r="Q327" s="132">
        <f t="shared" si="95"/>
        <v>5472425.6314999554</v>
      </c>
      <c r="R327" s="132">
        <f t="shared" si="106"/>
        <v>5.9399999999999613</v>
      </c>
      <c r="S327" s="164">
        <f t="shared" si="96"/>
        <v>-49.628195852904568</v>
      </c>
      <c r="T327" s="132" t="str">
        <f t="shared" si="97"/>
        <v>1+76.1104956829014i</v>
      </c>
      <c r="U327" s="138">
        <f t="shared" si="98"/>
        <v>2.0608639837093099</v>
      </c>
      <c r="V327" s="132">
        <f t="shared" si="99"/>
        <v>94.606026140169249</v>
      </c>
      <c r="W327" s="132">
        <f t="shared" si="100"/>
        <v>10.709553290006976</v>
      </c>
      <c r="X327" s="138">
        <f t="shared" si="101"/>
        <v>-94.78034029873902</v>
      </c>
      <c r="Y327" s="128" t="str">
        <f t="shared" si="102"/>
        <v>-0.285963019523241-3.41951366101421i</v>
      </c>
      <c r="Z327" s="128" t="str">
        <f t="shared" si="103"/>
        <v>-15227.8603575088i</v>
      </c>
      <c r="AA327" s="128" t="str">
        <f t="shared" si="107"/>
        <v>64900-1257.17996365762i</v>
      </c>
      <c r="AB327" s="128" t="str">
        <f t="shared" si="108"/>
        <v>5900-2304.82993337231i</v>
      </c>
      <c r="AC327" s="128" t="str">
        <f t="shared" si="109"/>
        <v>7178.45547885441-20359.9202731921i</v>
      </c>
      <c r="AD327" s="128" t="str">
        <f t="shared" si="110"/>
        <v>5640.92550676417-2075.32285341709i</v>
      </c>
      <c r="AE327" s="128" t="str">
        <f t="shared" si="111"/>
        <v>-0.523896284068093+1.8209043292377i</v>
      </c>
      <c r="AF327" s="130"/>
      <c r="AG327" s="130"/>
      <c r="AH327" s="130"/>
      <c r="AI327" s="130"/>
      <c r="AJ327" s="130"/>
      <c r="AK327" s="130"/>
      <c r="AL327" s="130"/>
      <c r="AM327" s="130"/>
      <c r="AN327" s="130"/>
      <c r="AO327" s="130"/>
      <c r="AP327" s="130"/>
      <c r="AQ327" s="130"/>
      <c r="AR327" s="130"/>
      <c r="AS327" s="130"/>
    </row>
    <row r="328" spans="1:100" s="166" customFormat="1" x14ac:dyDescent="0.2">
      <c r="A328" s="132">
        <f t="shared" si="104"/>
        <v>48.418999999999997</v>
      </c>
      <c r="B328" s="132">
        <f t="shared" si="105"/>
        <v>5.9599999999999618</v>
      </c>
      <c r="C328" s="146">
        <f t="shared" si="84"/>
        <v>912010.83935582871</v>
      </c>
      <c r="D328" s="137">
        <f t="shared" si="85"/>
        <v>-48.419449482425883</v>
      </c>
      <c r="E328" s="132">
        <f t="shared" si="86"/>
        <v>-17.554233801572025</v>
      </c>
      <c r="G328" s="146"/>
      <c r="H328" s="184" t="str">
        <f t="shared" si="87"/>
        <v>0.5-0.000793226931403131i</v>
      </c>
      <c r="I328" s="132" t="str">
        <f t="shared" si="88"/>
        <v>0.01-0.00396613465701564i</v>
      </c>
      <c r="J328" s="132" t="str">
        <f t="shared" si="89"/>
        <v>0.00983332819796714-0.00381215535943163i</v>
      </c>
      <c r="K328" s="132"/>
      <c r="L328" s="132" t="str">
        <f t="shared" si="90"/>
        <v>0.00977398947386928-0.00375830690550356i</v>
      </c>
      <c r="M328" s="132" t="str">
        <f t="shared" si="91"/>
        <v>0.009+18.9100992492359i</v>
      </c>
      <c r="N328" s="132" t="str">
        <f t="shared" si="92"/>
        <v>-0.000198271979372064-0.000517165741364112i</v>
      </c>
      <c r="O328" s="185">
        <f t="shared" si="93"/>
        <v>-65.131840248372882</v>
      </c>
      <c r="P328" s="185">
        <f t="shared" si="94"/>
        <v>-110.9759190378745</v>
      </c>
      <c r="Q328" s="132">
        <f t="shared" si="95"/>
        <v>5730333.1058290647</v>
      </c>
      <c r="R328" s="132">
        <f t="shared" si="106"/>
        <v>5.9599999999999609</v>
      </c>
      <c r="S328" s="164">
        <f t="shared" si="96"/>
        <v>-50.084886508995858</v>
      </c>
      <c r="T328" s="132" t="str">
        <f t="shared" si="97"/>
        <v>1+79.6974728358706i</v>
      </c>
      <c r="U328" s="138">
        <f t="shared" si="98"/>
        <v>1.6654370265699732</v>
      </c>
      <c r="V328" s="132">
        <f t="shared" si="99"/>
        <v>93.42168523630248</v>
      </c>
      <c r="W328" s="132">
        <f t="shared" si="100"/>
        <v>10.306404462045901</v>
      </c>
      <c r="X328" s="138">
        <f t="shared" si="101"/>
        <v>-95.022551268487447</v>
      </c>
      <c r="Y328" s="128" t="str">
        <f t="shared" si="102"/>
        <v>-0.286791066895748-3.26324333971909i</v>
      </c>
      <c r="Z328" s="128" t="str">
        <f t="shared" si="103"/>
        <v>-14542.4937423907i</v>
      </c>
      <c r="AA328" s="128" t="str">
        <f t="shared" si="107"/>
        <v>64900-1200.59754458773i</v>
      </c>
      <c r="AB328" s="128" t="str">
        <f t="shared" si="108"/>
        <v>5900-2201.09549841084i</v>
      </c>
      <c r="AC328" s="128" t="str">
        <f t="shared" si="109"/>
        <v>6618.46054757991-19643.8556827332i</v>
      </c>
      <c r="AD328" s="128" t="str">
        <f t="shared" si="110"/>
        <v>5637.29544776253-1981.9868782736i</v>
      </c>
      <c r="AE328" s="128" t="str">
        <f t="shared" si="111"/>
        <v>-0.459497469798554+1.75443563736028i</v>
      </c>
      <c r="AF328" s="130"/>
      <c r="AG328" s="130"/>
      <c r="AH328" s="130"/>
      <c r="AI328" s="130"/>
      <c r="AJ328" s="130"/>
      <c r="AK328" s="130"/>
      <c r="AL328" s="130"/>
      <c r="AM328" s="130"/>
      <c r="AN328" s="130"/>
      <c r="AO328" s="130"/>
      <c r="AP328" s="130"/>
      <c r="AQ328" s="130"/>
      <c r="AR328" s="130"/>
      <c r="AS328" s="130"/>
    </row>
    <row r="329" spans="1:100" s="166" customFormat="1" x14ac:dyDescent="0.2">
      <c r="A329" s="132">
        <f t="shared" si="104"/>
        <v>49.268000000000001</v>
      </c>
      <c r="B329" s="132">
        <f t="shared" si="105"/>
        <v>5.9799999999999613</v>
      </c>
      <c r="C329" s="146">
        <f t="shared" si="84"/>
        <v>954992.58602135081</v>
      </c>
      <c r="D329" s="137">
        <f t="shared" si="85"/>
        <v>-49.268463932930402</v>
      </c>
      <c r="E329" s="132">
        <f t="shared" si="86"/>
        <v>-17.871373817078251</v>
      </c>
      <c r="G329" s="146"/>
      <c r="H329" s="184" t="str">
        <f t="shared" si="87"/>
        <v>0.5-0.000757525838522524i</v>
      </c>
      <c r="I329" s="132" t="str">
        <f t="shared" si="88"/>
        <v>0.01-0.0037876291926126i</v>
      </c>
      <c r="J329" s="132" t="str">
        <f t="shared" si="89"/>
        <v>0.00983074093882715-0.00364060316285026i</v>
      </c>
      <c r="K329" s="132"/>
      <c r="L329" s="132" t="str">
        <f t="shared" si="90"/>
        <v>0.00977053072560479-0.00358919372425437i</v>
      </c>
      <c r="M329" s="132" t="str">
        <f t="shared" si="91"/>
        <v>0.009+19.8013047703508i</v>
      </c>
      <c r="N329" s="132" t="str">
        <f t="shared" si="92"/>
        <v>-0.000180825252079909-0.0004936895306797i</v>
      </c>
      <c r="O329" s="185">
        <f t="shared" si="93"/>
        <v>-65.584193439337227</v>
      </c>
      <c r="P329" s="185">
        <f t="shared" si="94"/>
        <v>-110.11642944306485</v>
      </c>
      <c r="Q329" s="132">
        <f t="shared" si="95"/>
        <v>6000395.3849547887</v>
      </c>
      <c r="R329" s="132">
        <f t="shared" si="106"/>
        <v>5.9799999999999605</v>
      </c>
      <c r="S329" s="164">
        <f t="shared" si="96"/>
        <v>-50.537239699960217</v>
      </c>
      <c r="T329" s="132" t="str">
        <f t="shared" si="97"/>
        <v>1+83.4534990139512i</v>
      </c>
      <c r="U329" s="138">
        <f t="shared" si="98"/>
        <v>1.2687757670298172</v>
      </c>
      <c r="V329" s="132">
        <f t="shared" si="99"/>
        <v>92.245055625986595</v>
      </c>
      <c r="W329" s="132">
        <f t="shared" si="100"/>
        <v>9.9029536341215252</v>
      </c>
      <c r="X329" s="138">
        <f t="shared" si="101"/>
        <v>-95.27517317260903</v>
      </c>
      <c r="Y329" s="128" t="str">
        <f t="shared" si="102"/>
        <v>-0.287506740517852-3.11389796374854i</v>
      </c>
      <c r="Z329" s="128" t="str">
        <f t="shared" si="103"/>
        <v>-13887.9737062462i</v>
      </c>
      <c r="AA329" s="128" t="str">
        <f t="shared" si="107"/>
        <v>64900-1146.56175387682i</v>
      </c>
      <c r="AB329" s="128" t="str">
        <f t="shared" si="108"/>
        <v>5900-2102.02988210751i</v>
      </c>
      <c r="AC329" s="128" t="str">
        <f t="shared" si="109"/>
        <v>6096.94709971506-18937.8615900698i</v>
      </c>
      <c r="AD329" s="128" t="str">
        <f t="shared" si="110"/>
        <v>5633.98457441367-1892.84282226985i</v>
      </c>
      <c r="AE329" s="128" t="str">
        <f t="shared" si="111"/>
        <v>-0.400252940742557+1.68868737366044i</v>
      </c>
      <c r="AF329" s="130"/>
      <c r="AG329" s="130"/>
      <c r="AH329" s="130"/>
      <c r="AI329" s="130"/>
      <c r="AJ329" s="130"/>
      <c r="AK329" s="130"/>
      <c r="AL329" s="130"/>
      <c r="AM329" s="130"/>
      <c r="AN329" s="130"/>
      <c r="AO329" s="130"/>
      <c r="AP329" s="130"/>
      <c r="AQ329" s="130"/>
      <c r="AR329" s="130"/>
      <c r="AS329" s="130"/>
    </row>
    <row r="330" spans="1:100" s="166" customFormat="1" x14ac:dyDescent="0.2">
      <c r="A330" s="132">
        <f t="shared" si="104"/>
        <v>50.115000000000002</v>
      </c>
      <c r="B330" s="132">
        <f t="shared" si="105"/>
        <v>5.99999999999996</v>
      </c>
      <c r="C330" s="132">
        <f t="shared" si="84"/>
        <v>999999.99999990896</v>
      </c>
      <c r="D330" s="137">
        <f t="shared" si="85"/>
        <v>-50.114624574254115</v>
      </c>
      <c r="E330" s="132">
        <f t="shared" si="86"/>
        <v>-18.212182192107349</v>
      </c>
      <c r="G330" s="132"/>
      <c r="H330" s="184" t="str">
        <f t="shared" si="87"/>
        <v>0.5-0.000723431559508683i</v>
      </c>
      <c r="I330" s="132" t="str">
        <f t="shared" si="88"/>
        <v>0.01-0.0036171577975434i</v>
      </c>
      <c r="J330" s="132" t="str">
        <f t="shared" si="89"/>
        <v>0.00982838129587839-0.00347676911199382i</v>
      </c>
      <c r="K330" s="132"/>
      <c r="L330" s="132" t="str">
        <f t="shared" si="90"/>
        <v>0.00976737623736266-0.00342768692367093i</v>
      </c>
      <c r="M330" s="132" t="str">
        <f t="shared" si="91"/>
        <v>0.009+20.7345115136907i</v>
      </c>
      <c r="N330" s="132" t="str">
        <f t="shared" si="92"/>
        <v>-0.000164913806147322-0.000471295727635532i</v>
      </c>
      <c r="O330" s="185">
        <f t="shared" si="93"/>
        <v>-66.032494552187046</v>
      </c>
      <c r="P330" s="185">
        <f t="shared" si="94"/>
        <v>-109.28574661420437</v>
      </c>
      <c r="Q330" s="132">
        <f t="shared" si="95"/>
        <v>6283185.3071790142</v>
      </c>
      <c r="R330" s="132">
        <f t="shared" si="106"/>
        <v>5.99999999999996</v>
      </c>
      <c r="S330" s="164">
        <f t="shared" si="96"/>
        <v>-50.985540812810022</v>
      </c>
      <c r="T330" s="132" t="str">
        <f t="shared" si="97"/>
        <v>1+87.3865412522457i</v>
      </c>
      <c r="U330" s="138">
        <f t="shared" si="98"/>
        <v>0.87091623855590528</v>
      </c>
      <c r="V330" s="132">
        <f t="shared" si="99"/>
        <v>91.073564422097022</v>
      </c>
      <c r="W330" s="132">
        <f t="shared" si="100"/>
        <v>9.499172270240134</v>
      </c>
      <c r="X330" s="138">
        <f t="shared" si="101"/>
        <v>-95.538706314619105</v>
      </c>
      <c r="Y330" s="128" t="str">
        <f t="shared" si="102"/>
        <v>-0.288116218835218-2.97116137835975i</v>
      </c>
      <c r="Z330" s="128" t="str">
        <f t="shared" si="103"/>
        <v>-13262.9119243258i</v>
      </c>
      <c r="AA330" s="128" t="str">
        <f t="shared" si="107"/>
        <v>64900-1094.9579743681i</v>
      </c>
      <c r="AB330" s="128" t="str">
        <f t="shared" si="108"/>
        <v>5900-2007.42295300819i</v>
      </c>
      <c r="AC330" s="128" t="str">
        <f t="shared" si="109"/>
        <v>5612.07006839533-18243.6753919314i</v>
      </c>
      <c r="AD330" s="128" t="str">
        <f t="shared" si="110"/>
        <v>5630.96483886667-1807.70316450197i</v>
      </c>
      <c r="AE330" s="128" t="str">
        <f t="shared" si="111"/>
        <v>-0.345803862127654+1.62389655362668i</v>
      </c>
      <c r="AF330" s="130"/>
      <c r="AG330" s="130"/>
      <c r="AH330" s="130"/>
      <c r="AI330" s="130"/>
      <c r="AJ330" s="130"/>
      <c r="AK330" s="130"/>
      <c r="AL330" s="130"/>
      <c r="AM330" s="130"/>
      <c r="AN330" s="130"/>
      <c r="AO330" s="130"/>
      <c r="AP330" s="130"/>
      <c r="AQ330" s="130"/>
      <c r="AR330" s="130"/>
      <c r="AS330" s="130"/>
    </row>
    <row r="331" spans="1:100" s="166" customFormat="1" x14ac:dyDescent="0.2">
      <c r="Q331" s="128"/>
      <c r="R331" s="128"/>
      <c r="S331" s="128"/>
      <c r="T331" s="128"/>
      <c r="U331" s="128"/>
      <c r="V331" s="128"/>
      <c r="W331" s="138"/>
      <c r="X331" s="128"/>
      <c r="Y331" s="128"/>
      <c r="Z331" s="138"/>
      <c r="AA331" s="128" t="str">
        <f t="shared" si="107"/>
        <v>64900-1045.67674752659i</v>
      </c>
      <c r="AB331" s="128" t="str">
        <f t="shared" si="108"/>
        <v>5900-1917.07403713208i</v>
      </c>
      <c r="AC331" s="128" t="str">
        <f t="shared" si="109"/>
        <v>5161.94561236547-17562.7889746431i</v>
      </c>
      <c r="AD331" s="128" t="str">
        <f t="shared" si="110"/>
        <v>5628.21065495246-1726.38867612088i</v>
      </c>
      <c r="AE331" s="128" t="str">
        <f t="shared" si="111"/>
        <v>-0.295806829991904+1.56025651139929i</v>
      </c>
      <c r="AF331" s="128"/>
      <c r="AG331" s="128"/>
      <c r="AH331" s="128"/>
      <c r="AI331" s="128"/>
      <c r="AJ331" s="128"/>
      <c r="AK331" s="128"/>
      <c r="AL331" s="130"/>
      <c r="AM331" s="130"/>
      <c r="AN331" s="130"/>
      <c r="AO331" s="130"/>
      <c r="AP331" s="130"/>
      <c r="AQ331" s="130"/>
      <c r="AR331" s="130"/>
      <c r="AS331" s="130"/>
      <c r="AT331" s="130"/>
      <c r="AU331" s="130"/>
      <c r="AV331" s="130"/>
      <c r="AW331" s="130"/>
      <c r="AX331" s="130"/>
      <c r="AY331" s="130"/>
      <c r="AZ331" s="130"/>
      <c r="BA331" s="130"/>
      <c r="BB331" s="130"/>
      <c r="BC331" s="130"/>
      <c r="BD331" s="130"/>
      <c r="BE331" s="130"/>
      <c r="BF331" s="130"/>
      <c r="BG331" s="130"/>
      <c r="BH331" s="130"/>
      <c r="BI331" s="130"/>
      <c r="BJ331" s="130"/>
      <c r="BK331" s="130"/>
      <c r="BL331" s="130"/>
      <c r="BM331" s="130"/>
    </row>
    <row r="332" spans="1:100" s="166" customFormat="1" x14ac:dyDescent="0.2">
      <c r="Q332" s="128"/>
      <c r="R332" s="128"/>
      <c r="S332" s="128"/>
      <c r="T332" s="128"/>
      <c r="U332" s="128"/>
      <c r="V332" s="128"/>
      <c r="W332" s="128"/>
      <c r="X332" s="128"/>
      <c r="Y332" s="128"/>
      <c r="Z332" s="138"/>
      <c r="AA332" s="128" t="str">
        <f t="shared" si="107"/>
        <v>64900-998.613541262905i</v>
      </c>
      <c r="AB332" s="128" t="str">
        <f t="shared" si="108"/>
        <v>5900-1830.79149231532i</v>
      </c>
      <c r="AC332" s="128" t="str">
        <f t="shared" si="109"/>
        <v>4744.67659387226-16896.4629398859i</v>
      </c>
      <c r="AD332" s="128" t="str">
        <f t="shared" si="110"/>
        <v>5625.69868262874-1648.7280661622i</v>
      </c>
      <c r="AE332" s="128" t="str">
        <f t="shared" si="111"/>
        <v>-0.249935394398307+1.49792247507401i</v>
      </c>
      <c r="AF332" s="128"/>
      <c r="AG332" s="128"/>
      <c r="AH332" s="128"/>
      <c r="AI332" s="128"/>
      <c r="AJ332" s="128"/>
      <c r="AK332" s="128"/>
      <c r="AL332" s="130"/>
      <c r="AM332" s="130"/>
      <c r="AN332" s="130"/>
      <c r="AO332" s="130"/>
      <c r="AP332" s="130"/>
      <c r="AQ332" s="130"/>
      <c r="AR332" s="130"/>
      <c r="AS332" s="130"/>
      <c r="AT332" s="130"/>
      <c r="AU332" s="130"/>
      <c r="AV332" s="130"/>
      <c r="AW332" s="130"/>
      <c r="AX332" s="130"/>
      <c r="AY332" s="130"/>
      <c r="AZ332" s="130"/>
      <c r="BA332" s="130"/>
      <c r="BB332" s="130"/>
      <c r="BC332" s="130"/>
      <c r="BD332" s="130"/>
      <c r="BE332" s="130"/>
      <c r="BF332" s="130"/>
      <c r="BG332" s="130"/>
      <c r="BH332" s="130"/>
      <c r="BI332" s="130"/>
      <c r="BJ332" s="130"/>
      <c r="BK332" s="130"/>
      <c r="BL332" s="130"/>
      <c r="BM332" s="130"/>
      <c r="CA332" s="188"/>
      <c r="CB332" s="188"/>
      <c r="CC332" s="188"/>
      <c r="CD332" s="188"/>
      <c r="CE332" s="188"/>
      <c r="CF332" s="188"/>
      <c r="CG332" s="188"/>
      <c r="CH332" s="188"/>
      <c r="CI332" s="188"/>
      <c r="CJ332" s="188"/>
      <c r="CK332" s="188"/>
      <c r="CL332" s="188"/>
      <c r="CM332" s="188"/>
      <c r="CN332" s="188"/>
      <c r="CO332" s="188"/>
      <c r="CP332" s="188"/>
      <c r="CQ332" s="188"/>
      <c r="CR332" s="188"/>
      <c r="CS332" s="188"/>
      <c r="CT332" s="188"/>
      <c r="CU332" s="188"/>
      <c r="CV332" s="188"/>
    </row>
    <row r="333" spans="1:100" s="166" customFormat="1" x14ac:dyDescent="0.2">
      <c r="D333" s="131"/>
      <c r="H333" s="131"/>
      <c r="N333" s="186"/>
      <c r="Q333" s="128"/>
      <c r="R333" s="128"/>
      <c r="S333" s="131"/>
      <c r="T333" s="128"/>
      <c r="U333" s="131"/>
      <c r="V333" s="130"/>
      <c r="W333" s="130"/>
      <c r="X333" s="130"/>
      <c r="Y333" s="130"/>
      <c r="Z333" s="130"/>
      <c r="AA333" s="128" t="str">
        <f t="shared" si="107"/>
        <v>64900-953.668528206687i</v>
      </c>
      <c r="AB333" s="128" t="str">
        <f t="shared" si="108"/>
        <v>5900-1748.39230171225i</v>
      </c>
      <c r="AC333" s="128" t="str">
        <f t="shared" si="109"/>
        <v>4358.37433766704-16245.7423416287i</v>
      </c>
      <c r="AD333" s="128" t="str">
        <f t="shared" si="110"/>
        <v>5623.40763121566-1574.55764086747i</v>
      </c>
      <c r="AE333" s="128" t="str">
        <f t="shared" si="111"/>
        <v>-0.207880955181146+1.43701658474759i</v>
      </c>
      <c r="AF333" s="130"/>
      <c r="AG333" s="130"/>
      <c r="AH333" s="130"/>
      <c r="AI333" s="130"/>
      <c r="AJ333" s="130"/>
      <c r="AK333" s="130"/>
      <c r="AL333" s="130"/>
      <c r="AM333" s="130"/>
      <c r="AN333" s="130"/>
      <c r="AO333" s="130"/>
      <c r="AP333" s="130"/>
      <c r="AQ333" s="130"/>
      <c r="AR333" s="130"/>
      <c r="AS333" s="130"/>
      <c r="AT333" s="130"/>
      <c r="AU333" s="130"/>
      <c r="AV333" s="130"/>
      <c r="AW333" s="130"/>
      <c r="AX333" s="130"/>
      <c r="AY333" s="130"/>
      <c r="AZ333" s="130"/>
      <c r="BA333" s="130"/>
      <c r="CA333" s="188"/>
      <c r="CB333" s="188"/>
      <c r="CC333" s="188"/>
      <c r="CD333" s="188"/>
      <c r="CE333" s="188"/>
      <c r="CF333" s="188"/>
      <c r="CG333" s="188"/>
      <c r="CH333" s="188"/>
      <c r="CI333" s="188"/>
      <c r="CJ333" s="188"/>
      <c r="CK333" s="188"/>
      <c r="CL333" s="188"/>
      <c r="CM333" s="188"/>
      <c r="CN333" s="188"/>
      <c r="CO333" s="188"/>
      <c r="CP333" s="188"/>
      <c r="CQ333" s="188"/>
      <c r="CR333" s="188"/>
      <c r="CS333" s="188"/>
      <c r="CT333" s="188"/>
      <c r="CU333" s="188"/>
      <c r="CV333" s="188"/>
    </row>
    <row r="334" spans="1:100" s="188" customFormat="1" x14ac:dyDescent="0.2">
      <c r="A334" s="189"/>
      <c r="B334" s="189"/>
      <c r="C334" s="189"/>
      <c r="D334" s="162"/>
      <c r="E334" s="162"/>
      <c r="F334" s="189"/>
      <c r="G334" s="189"/>
      <c r="H334" s="162"/>
      <c r="I334" s="189"/>
      <c r="J334" s="189"/>
      <c r="K334" s="189"/>
      <c r="L334" s="189"/>
      <c r="M334" s="189"/>
      <c r="N334" s="189"/>
      <c r="O334" s="189"/>
      <c r="P334" s="189"/>
      <c r="Q334" s="161"/>
      <c r="R334" s="161"/>
      <c r="S334" s="161"/>
      <c r="T334" s="162"/>
      <c r="U334" s="161"/>
      <c r="V334" s="162"/>
      <c r="W334" s="162"/>
      <c r="X334" s="162"/>
      <c r="Y334" s="161"/>
      <c r="Z334" s="128"/>
      <c r="AA334" s="128" t="str">
        <f t="shared" si="107"/>
        <v>64900-910.746373959355i</v>
      </c>
      <c r="AB334" s="128" t="str">
        <f t="shared" si="108"/>
        <v>5900-1669.70168559216i</v>
      </c>
      <c r="AC334" s="128" t="str">
        <f t="shared" si="109"/>
        <v>4001.17686435975-15611.473329442i</v>
      </c>
      <c r="AD334" s="128" t="str">
        <f t="shared" si="110"/>
        <v>5621.31807979834-1503.72097620405i</v>
      </c>
      <c r="AE334" s="128" t="str">
        <f t="shared" si="111"/>
        <v>-0.169353167789442+1.37763237759282i</v>
      </c>
      <c r="AF334" s="131"/>
      <c r="AG334" s="131"/>
      <c r="AH334" s="129"/>
      <c r="AI334" s="129"/>
      <c r="AJ334" s="129"/>
      <c r="AK334" s="129"/>
      <c r="AL334" s="129"/>
      <c r="AM334" s="129"/>
      <c r="AN334" s="129"/>
      <c r="AO334" s="129"/>
      <c r="AP334" s="129"/>
      <c r="AQ334" s="129"/>
      <c r="AR334" s="129"/>
      <c r="AS334" s="129"/>
      <c r="CA334" s="166"/>
      <c r="CB334" s="166"/>
      <c r="CC334" s="166"/>
      <c r="CD334" s="166"/>
      <c r="CE334" s="166"/>
      <c r="CF334" s="166"/>
      <c r="CG334" s="166"/>
      <c r="CH334" s="166"/>
      <c r="CI334" s="166"/>
      <c r="CJ334" s="166"/>
      <c r="CK334" s="166"/>
      <c r="CL334" s="166"/>
      <c r="CM334" s="166"/>
      <c r="CN334" s="166"/>
      <c r="CO334" s="166"/>
      <c r="CP334" s="166"/>
      <c r="CQ334" s="166"/>
      <c r="CR334" s="166"/>
      <c r="CS334" s="166"/>
      <c r="CT334" s="166"/>
      <c r="CU334" s="166"/>
      <c r="CV334" s="166"/>
    </row>
    <row r="335" spans="1:100" s="188" customFormat="1" x14ac:dyDescent="0.2">
      <c r="A335" s="189"/>
      <c r="B335" s="189"/>
      <c r="C335" s="162"/>
      <c r="D335" s="162"/>
      <c r="E335" s="162"/>
      <c r="F335" s="162"/>
      <c r="G335" s="131"/>
      <c r="H335" s="13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1"/>
      <c r="T335" s="162"/>
      <c r="U335" s="161"/>
      <c r="V335" s="132"/>
      <c r="W335" s="132"/>
      <c r="X335" s="132"/>
      <c r="Y335" s="131"/>
      <c r="Z335" s="131"/>
      <c r="AA335" s="128" t="str">
        <f t="shared" si="107"/>
        <v>64900-869.756034877093i</v>
      </c>
      <c r="AB335" s="128" t="str">
        <f t="shared" si="108"/>
        <v>5900-1594.55273060801i</v>
      </c>
      <c r="AC335" s="128" t="str">
        <f t="shared" si="109"/>
        <v>3671.26385036126-14994.3201895433i</v>
      </c>
      <c r="AD335" s="128" t="str">
        <f t="shared" si="110"/>
        <v>5619.41231331039-1436.06860326385i</v>
      </c>
      <c r="AE335" s="128" t="str">
        <f t="shared" si="111"/>
        <v>-0.13407997243025+1.31983877323037i</v>
      </c>
      <c r="AF335" s="131"/>
      <c r="AG335" s="131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CA335" s="166"/>
      <c r="CB335" s="166"/>
      <c r="CC335" s="166"/>
      <c r="CD335" s="166"/>
      <c r="CE335" s="166"/>
      <c r="CF335" s="166"/>
      <c r="CG335" s="166"/>
      <c r="CH335" s="166"/>
      <c r="CI335" s="166"/>
      <c r="CJ335" s="166"/>
      <c r="CK335" s="166"/>
      <c r="CL335" s="166"/>
      <c r="CM335" s="166"/>
      <c r="CN335" s="166"/>
      <c r="CO335" s="166"/>
      <c r="CP335" s="166"/>
      <c r="CQ335" s="166"/>
      <c r="CR335" s="166"/>
      <c r="CS335" s="166"/>
      <c r="CT335" s="166"/>
      <c r="CU335" s="166"/>
      <c r="CV335" s="166"/>
    </row>
    <row r="336" spans="1:100" s="166" customFormat="1" x14ac:dyDescent="0.2">
      <c r="A336" s="132"/>
      <c r="B336" s="132"/>
      <c r="C336" s="146"/>
      <c r="D336" s="137"/>
      <c r="F336" s="137"/>
      <c r="G336" s="164"/>
      <c r="H336" s="138"/>
      <c r="I336" s="132"/>
      <c r="J336" s="132"/>
      <c r="K336" s="132"/>
      <c r="L336" s="132"/>
      <c r="M336" s="132"/>
      <c r="N336" s="132"/>
      <c r="O336" s="185"/>
      <c r="P336" s="185"/>
      <c r="Q336" s="132"/>
      <c r="R336" s="132"/>
      <c r="S336" s="128"/>
      <c r="T336" s="132"/>
      <c r="U336" s="128"/>
      <c r="V336" s="132"/>
      <c r="W336" s="132"/>
      <c r="X336" s="138"/>
      <c r="Y336" s="128"/>
      <c r="Z336" s="128"/>
      <c r="AA336" s="128" t="str">
        <f t="shared" si="107"/>
        <v>64900-830.610564955027i</v>
      </c>
      <c r="AB336" s="128" t="str">
        <f t="shared" si="108"/>
        <v>5900-1522.78603575088i</v>
      </c>
      <c r="AC336" s="128" t="str">
        <f t="shared" si="109"/>
        <v>3366.86860375567-14394.7823671672i</v>
      </c>
      <c r="AD336" s="128" t="str">
        <f t="shared" si="110"/>
        <v>5617.67417293896-1371.45770620058i</v>
      </c>
      <c r="AE336" s="128" t="str">
        <f t="shared" si="111"/>
        <v>-0.101807338830128+1.26368359759312i</v>
      </c>
      <c r="AF336" s="130"/>
      <c r="AG336" s="130"/>
      <c r="AH336" s="130"/>
      <c r="AI336" s="130"/>
      <c r="AJ336" s="130"/>
      <c r="AK336" s="130"/>
      <c r="AL336" s="130"/>
      <c r="AM336" s="130"/>
      <c r="AN336" s="130"/>
      <c r="AO336" s="130"/>
      <c r="AP336" s="130"/>
      <c r="AQ336" s="130"/>
      <c r="AR336" s="130"/>
      <c r="AS336" s="130"/>
    </row>
    <row r="337" spans="16:67" s="166" customFormat="1" x14ac:dyDescent="0.2">
      <c r="Q337" s="128"/>
      <c r="R337" s="130"/>
      <c r="S337" s="165"/>
      <c r="T337" s="130"/>
      <c r="U337" s="130"/>
      <c r="V337" s="130"/>
      <c r="W337" s="130"/>
      <c r="X337" s="130"/>
      <c r="Y337" s="130"/>
      <c r="Z337" s="130"/>
      <c r="AA337" s="128" t="str">
        <f t="shared" si="107"/>
        <v>64900-793.226931403131i</v>
      </c>
      <c r="AB337" s="128" t="str">
        <f t="shared" si="108"/>
        <v>5900-1454.24937423907i</v>
      </c>
      <c r="AC337" s="128" t="str">
        <f t="shared" si="109"/>
        <v>3086.2873644717-13813.2111392998i</v>
      </c>
      <c r="AD337" s="128" t="str">
        <f t="shared" si="110"/>
        <v>5616.0889196083-1309.75183234932i</v>
      </c>
      <c r="AE337" s="128" t="str">
        <f t="shared" si="111"/>
        <v>-0.0722988012708164+1.20919668553082i</v>
      </c>
      <c r="AF337" s="130"/>
      <c r="AG337" s="130"/>
      <c r="AH337" s="130"/>
      <c r="AI337" s="130"/>
      <c r="AJ337" s="130"/>
      <c r="AK337" s="130"/>
      <c r="AL337" s="130"/>
      <c r="AM337" s="130"/>
      <c r="AN337" s="130"/>
      <c r="AO337" s="130"/>
      <c r="AP337" s="130"/>
      <c r="AQ337" s="130"/>
      <c r="AR337" s="130"/>
      <c r="AS337" s="130"/>
      <c r="AT337" s="130"/>
      <c r="AU337" s="130"/>
      <c r="AV337" s="130"/>
      <c r="AW337" s="130"/>
      <c r="AX337" s="130"/>
      <c r="AY337" s="130"/>
      <c r="AZ337" s="130"/>
      <c r="BA337" s="130"/>
      <c r="BB337" s="130"/>
      <c r="BC337" s="130"/>
      <c r="BD337" s="130"/>
      <c r="BE337" s="130"/>
      <c r="BF337" s="130"/>
      <c r="BG337" s="130"/>
      <c r="BH337" s="130"/>
      <c r="BI337" s="130"/>
      <c r="BJ337" s="130"/>
      <c r="BK337" s="130"/>
      <c r="BL337" s="130"/>
      <c r="BM337" s="130"/>
      <c r="BN337" s="130"/>
      <c r="BO337" s="130"/>
    </row>
    <row r="338" spans="16:67" s="166" customFormat="1" x14ac:dyDescent="0.2">
      <c r="Q338" s="128"/>
      <c r="R338" s="130"/>
      <c r="S338" s="165"/>
      <c r="T338" s="130"/>
      <c r="U338" s="130"/>
      <c r="V338" s="130"/>
      <c r="W338" s="130"/>
      <c r="X338" s="130"/>
      <c r="Y338" s="130"/>
      <c r="Z338" s="130"/>
      <c r="AA338" s="128" t="str">
        <f t="shared" si="107"/>
        <v>64900-757.525838522524i</v>
      </c>
      <c r="AB338" s="128" t="str">
        <f t="shared" si="108"/>
        <v>5900-1388.79737062462i</v>
      </c>
      <c r="AC338" s="128" t="str">
        <f t="shared" si="109"/>
        <v>2827.88624177122-13249.8256836496i</v>
      </c>
      <c r="AD338" s="128" t="str">
        <f t="shared" si="110"/>
        <v>5614.64310940527-1250.82061416195i</v>
      </c>
      <c r="AE338" s="128" t="str">
        <f t="shared" si="111"/>
        <v>-0.045334843782609+1.15639260246973i</v>
      </c>
      <c r="AF338" s="130"/>
      <c r="AG338" s="130"/>
      <c r="AH338" s="130"/>
      <c r="AI338" s="130"/>
      <c r="AJ338" s="130"/>
      <c r="AK338" s="130"/>
      <c r="AL338" s="130"/>
      <c r="AM338" s="130"/>
      <c r="AN338" s="130"/>
      <c r="AO338" s="130"/>
      <c r="AP338" s="130"/>
      <c r="AQ338" s="130"/>
      <c r="AR338" s="130"/>
      <c r="AS338" s="130"/>
      <c r="AT338" s="130"/>
      <c r="AU338" s="130"/>
      <c r="AV338" s="130"/>
      <c r="AW338" s="130"/>
      <c r="AX338" s="130"/>
      <c r="AY338" s="130"/>
      <c r="AZ338" s="130"/>
      <c r="BA338" s="130"/>
      <c r="BB338" s="130"/>
      <c r="BC338" s="130"/>
      <c r="BD338" s="130"/>
      <c r="BE338" s="130"/>
      <c r="BF338" s="130"/>
      <c r="BG338" s="130"/>
      <c r="BH338" s="130"/>
      <c r="BI338" s="130"/>
      <c r="BJ338" s="130"/>
      <c r="BK338" s="130"/>
      <c r="BL338" s="130"/>
      <c r="BM338" s="130"/>
      <c r="BN338" s="130"/>
      <c r="BO338" s="130"/>
    </row>
    <row r="339" spans="16:67" s="166" customFormat="1" x14ac:dyDescent="0.2">
      <c r="Q339" s="128"/>
      <c r="R339" s="130"/>
      <c r="S339" s="165"/>
      <c r="T339" s="130"/>
      <c r="U339" s="130"/>
      <c r="V339" s="130"/>
      <c r="W339" s="130"/>
      <c r="X339" s="130"/>
      <c r="Y339" s="130"/>
      <c r="Z339" s="130"/>
      <c r="AA339" s="128" t="str">
        <f t="shared" si="107"/>
        <v>64900-723.431559508683i</v>
      </c>
      <c r="AB339" s="128" t="str">
        <f t="shared" si="108"/>
        <v>5900-1326.29119243258i</v>
      </c>
      <c r="AC339" s="128" t="str">
        <f t="shared" si="109"/>
        <v>2590.10609574431-12704.7283570738i</v>
      </c>
      <c r="AD339" s="128" t="str">
        <f t="shared" si="110"/>
        <v>5613.32447990761-1194.53950258513i</v>
      </c>
      <c r="AE339" s="128" t="str">
        <f t="shared" si="111"/>
        <v>-0.0207121831369434+1.10527302419258i</v>
      </c>
      <c r="AF339" s="130"/>
      <c r="AG339" s="130"/>
      <c r="AH339" s="130"/>
      <c r="AI339" s="130"/>
      <c r="AJ339" s="130"/>
      <c r="AK339" s="130"/>
      <c r="AL339" s="130"/>
      <c r="AM339" s="130"/>
      <c r="AN339" s="130"/>
      <c r="AO339" s="130"/>
      <c r="AP339" s="130"/>
      <c r="AQ339" s="130"/>
      <c r="AR339" s="130"/>
      <c r="AS339" s="130"/>
      <c r="AT339" s="130"/>
      <c r="AU339" s="130"/>
      <c r="AV339" s="130"/>
      <c r="AW339" s="130"/>
      <c r="AX339" s="130"/>
      <c r="AY339" s="130"/>
      <c r="AZ339" s="130"/>
      <c r="BA339" s="130"/>
      <c r="BB339" s="130"/>
      <c r="BC339" s="130"/>
      <c r="BD339" s="130"/>
      <c r="BE339" s="130"/>
      <c r="BF339" s="130"/>
      <c r="BG339" s="130"/>
      <c r="BH339" s="130"/>
      <c r="BI339" s="130"/>
      <c r="BJ339" s="130"/>
      <c r="BK339" s="130"/>
      <c r="BL339" s="130"/>
      <c r="BM339" s="130"/>
      <c r="BN339" s="130"/>
      <c r="BO339" s="130"/>
    </row>
    <row r="340" spans="16:67" s="166" customFormat="1" x14ac:dyDescent="0.2">
      <c r="Q340" s="128"/>
      <c r="R340" s="130"/>
      <c r="S340" s="165"/>
      <c r="T340" s="130"/>
      <c r="U340" s="130"/>
      <c r="V340" s="130"/>
      <c r="W340" s="130"/>
      <c r="X340" s="130"/>
      <c r="Y340" s="130"/>
      <c r="Z340" s="130"/>
      <c r="AA340" s="138"/>
      <c r="AB340" s="138"/>
      <c r="AC340" s="128"/>
      <c r="AD340" s="128"/>
      <c r="AE340" s="128"/>
      <c r="AF340" s="130"/>
      <c r="AG340" s="130"/>
      <c r="AH340" s="130"/>
      <c r="AI340" s="130"/>
      <c r="AJ340" s="130"/>
      <c r="AK340" s="130"/>
      <c r="AL340" s="130"/>
      <c r="AM340" s="130"/>
      <c r="AN340" s="130"/>
      <c r="AO340" s="130"/>
      <c r="AP340" s="130"/>
      <c r="AQ340" s="130"/>
      <c r="AR340" s="130"/>
      <c r="AS340" s="130"/>
      <c r="AT340" s="130"/>
      <c r="AU340" s="130"/>
      <c r="AV340" s="130"/>
      <c r="AW340" s="130"/>
      <c r="AX340" s="130"/>
      <c r="AY340" s="130"/>
      <c r="AZ340" s="130"/>
      <c r="BA340" s="130"/>
      <c r="BB340" s="130"/>
      <c r="BC340" s="130"/>
      <c r="BD340" s="130"/>
      <c r="BE340" s="130"/>
      <c r="BF340" s="130"/>
      <c r="BG340" s="130"/>
      <c r="BH340" s="130"/>
      <c r="BI340" s="130"/>
      <c r="BJ340" s="130"/>
      <c r="BK340" s="130"/>
      <c r="BL340" s="130"/>
      <c r="BM340" s="130"/>
      <c r="BN340" s="130"/>
      <c r="BO340" s="130"/>
    </row>
    <row r="341" spans="16:67" s="166" customFormat="1" x14ac:dyDescent="0.2">
      <c r="Q341" s="128"/>
      <c r="R341" s="130"/>
      <c r="S341" s="165"/>
      <c r="T341" s="130"/>
      <c r="U341" s="130"/>
      <c r="V341" s="130"/>
      <c r="W341" s="130"/>
      <c r="X341" s="130"/>
      <c r="Y341" s="130"/>
      <c r="Z341" s="130"/>
      <c r="AA341" s="138"/>
      <c r="AB341" s="138"/>
      <c r="AC341" s="128"/>
      <c r="AD341" s="128"/>
      <c r="AE341" s="128"/>
      <c r="AF341" s="130"/>
      <c r="AG341" s="130"/>
      <c r="AH341" s="130"/>
      <c r="AI341" s="130"/>
      <c r="AJ341" s="130"/>
      <c r="AK341" s="130"/>
      <c r="AL341" s="130"/>
      <c r="AM341" s="130"/>
      <c r="AN341" s="130"/>
      <c r="AO341" s="130"/>
      <c r="AP341" s="130"/>
      <c r="AQ341" s="130"/>
      <c r="AR341" s="130"/>
      <c r="AS341" s="130"/>
      <c r="AT341" s="130"/>
      <c r="AU341" s="130"/>
      <c r="AV341" s="130"/>
      <c r="AW341" s="130"/>
      <c r="AX341" s="130"/>
      <c r="AY341" s="130"/>
      <c r="AZ341" s="130"/>
      <c r="BA341" s="130"/>
      <c r="BB341" s="130"/>
      <c r="BC341" s="130"/>
      <c r="BD341" s="130"/>
      <c r="BE341" s="130"/>
      <c r="BF341" s="130"/>
      <c r="BG341" s="130"/>
      <c r="BH341" s="130"/>
      <c r="BI341" s="130"/>
      <c r="BJ341" s="130"/>
      <c r="BK341" s="130"/>
      <c r="BL341" s="130"/>
      <c r="BM341" s="130"/>
      <c r="BN341" s="130"/>
      <c r="BO341" s="130"/>
    </row>
    <row r="342" spans="16:67" s="166" customFormat="1" x14ac:dyDescent="0.2">
      <c r="Q342" s="128"/>
      <c r="R342" s="130"/>
      <c r="S342" s="165"/>
      <c r="T342" s="130"/>
      <c r="U342" s="130"/>
      <c r="V342" s="130"/>
      <c r="W342" s="130"/>
      <c r="X342" s="130"/>
      <c r="Y342" s="130"/>
      <c r="Z342" s="130"/>
      <c r="AA342" s="128"/>
      <c r="AB342" s="130"/>
      <c r="AC342" s="130"/>
      <c r="AD342" s="130"/>
      <c r="AE342" s="130"/>
      <c r="AF342" s="130"/>
      <c r="AG342" s="130"/>
      <c r="AH342" s="130"/>
      <c r="AI342" s="130"/>
      <c r="AJ342" s="130"/>
      <c r="AK342" s="130"/>
      <c r="AL342" s="130"/>
      <c r="AM342" s="130"/>
      <c r="AN342" s="130"/>
      <c r="AO342" s="130"/>
      <c r="AP342" s="130"/>
      <c r="AQ342" s="130"/>
      <c r="AR342" s="130"/>
      <c r="AS342" s="130"/>
      <c r="AT342" s="130"/>
      <c r="AU342" s="130"/>
      <c r="AV342" s="130"/>
      <c r="AW342" s="130"/>
      <c r="AX342" s="130"/>
      <c r="AY342" s="130"/>
      <c r="AZ342" s="130"/>
      <c r="BA342" s="130"/>
      <c r="BB342" s="130"/>
      <c r="BC342" s="130"/>
      <c r="BD342" s="130"/>
      <c r="BE342" s="130"/>
      <c r="BF342" s="130"/>
      <c r="BG342" s="130"/>
      <c r="BH342" s="130"/>
      <c r="BI342" s="130"/>
      <c r="BJ342" s="130"/>
      <c r="BK342" s="130"/>
      <c r="BL342" s="130"/>
      <c r="BM342" s="130"/>
      <c r="BN342" s="130"/>
      <c r="BO342" s="130"/>
    </row>
    <row r="343" spans="16:67" s="166" customFormat="1" x14ac:dyDescent="0.2">
      <c r="Q343" s="128"/>
      <c r="R343" s="130"/>
      <c r="S343" s="165"/>
      <c r="T343" s="130"/>
      <c r="U343" s="130"/>
      <c r="V343" s="130"/>
      <c r="W343" s="130"/>
      <c r="X343" s="130"/>
      <c r="Y343" s="130"/>
      <c r="Z343" s="130"/>
      <c r="AA343" s="128"/>
      <c r="AB343" s="128"/>
      <c r="AC343" s="128"/>
      <c r="AD343" s="128"/>
      <c r="AE343" s="128"/>
      <c r="AF343" s="130"/>
      <c r="AG343" s="130"/>
      <c r="AH343" s="130"/>
      <c r="AI343" s="130"/>
      <c r="AJ343" s="130"/>
      <c r="AK343" s="130"/>
      <c r="AL343" s="130"/>
      <c r="AM343" s="130"/>
      <c r="AN343" s="130"/>
      <c r="AO343" s="130"/>
      <c r="AP343" s="130"/>
      <c r="AQ343" s="130"/>
      <c r="AR343" s="130"/>
      <c r="AS343" s="130"/>
      <c r="AT343" s="130"/>
      <c r="AU343" s="130"/>
      <c r="AV343" s="130"/>
      <c r="AW343" s="130"/>
      <c r="AX343" s="130"/>
      <c r="AY343" s="130"/>
      <c r="AZ343" s="130"/>
      <c r="BA343" s="130"/>
      <c r="BB343" s="130"/>
      <c r="BC343" s="130"/>
      <c r="BD343" s="130"/>
      <c r="BE343" s="130"/>
      <c r="BF343" s="130"/>
      <c r="BG343" s="130"/>
      <c r="BH343" s="130"/>
      <c r="BI343" s="130"/>
      <c r="BJ343" s="130"/>
      <c r="BK343" s="130"/>
      <c r="BL343" s="130"/>
      <c r="BM343" s="130"/>
      <c r="BN343" s="130"/>
      <c r="BO343" s="130"/>
    </row>
    <row r="344" spans="16:67" s="166" customFormat="1" x14ac:dyDescent="0.2">
      <c r="Q344" s="128"/>
      <c r="R344" s="130"/>
      <c r="S344" s="165"/>
      <c r="T344" s="130"/>
      <c r="U344" s="130"/>
      <c r="V344" s="130"/>
      <c r="W344" s="130"/>
      <c r="X344" s="130"/>
      <c r="Y344" s="130"/>
      <c r="Z344" s="130"/>
      <c r="AA344" s="131"/>
      <c r="AB344" s="131"/>
      <c r="AC344" s="131"/>
      <c r="AD344" s="131"/>
      <c r="AE344" s="131"/>
      <c r="AF344" s="130"/>
      <c r="AG344" s="130"/>
      <c r="AH344" s="130"/>
      <c r="AI344" s="130"/>
      <c r="AJ344" s="130"/>
      <c r="AK344" s="130"/>
      <c r="AL344" s="130"/>
      <c r="AM344" s="130"/>
      <c r="AN344" s="130"/>
      <c r="AO344" s="130"/>
      <c r="AP344" s="130"/>
      <c r="AQ344" s="130"/>
      <c r="AR344" s="130"/>
      <c r="AS344" s="130"/>
      <c r="AT344" s="130"/>
      <c r="AU344" s="130"/>
      <c r="AV344" s="130"/>
      <c r="AW344" s="130"/>
      <c r="AX344" s="130"/>
      <c r="AY344" s="130"/>
      <c r="AZ344" s="130"/>
      <c r="BA344" s="130"/>
      <c r="BB344" s="130"/>
      <c r="BC344" s="130"/>
      <c r="BD344" s="130"/>
      <c r="BE344" s="130"/>
      <c r="BF344" s="130"/>
      <c r="BG344" s="130"/>
      <c r="BH344" s="130"/>
      <c r="BI344" s="130"/>
      <c r="BJ344" s="130"/>
      <c r="BK344" s="130"/>
      <c r="BL344" s="130"/>
      <c r="BM344" s="130"/>
      <c r="BN344" s="130"/>
      <c r="BO344" s="130"/>
    </row>
    <row r="345" spans="16:67" s="166" customFormat="1" x14ac:dyDescent="0.2">
      <c r="Q345" s="128"/>
      <c r="R345" s="130"/>
      <c r="S345" s="165"/>
      <c r="T345" s="130"/>
      <c r="U345" s="130"/>
      <c r="V345" s="130"/>
      <c r="W345" s="130"/>
      <c r="X345" s="130"/>
      <c r="Y345" s="130"/>
      <c r="Z345" s="130"/>
      <c r="AA345" s="128"/>
      <c r="AB345" s="128"/>
      <c r="AC345" s="128"/>
      <c r="AD345" s="128"/>
      <c r="AE345" s="128"/>
      <c r="AF345" s="130"/>
      <c r="AG345" s="130"/>
      <c r="AH345" s="130"/>
      <c r="AI345" s="130"/>
      <c r="AJ345" s="130"/>
      <c r="AK345" s="130"/>
      <c r="AL345" s="130"/>
      <c r="AM345" s="130"/>
      <c r="AN345" s="130"/>
      <c r="AO345" s="130"/>
      <c r="AP345" s="130"/>
      <c r="AQ345" s="130"/>
      <c r="AR345" s="130"/>
      <c r="AS345" s="130"/>
      <c r="AT345" s="130"/>
      <c r="AU345" s="130"/>
      <c r="AV345" s="130"/>
      <c r="AW345" s="130"/>
      <c r="AX345" s="130"/>
      <c r="AY345" s="130"/>
      <c r="AZ345" s="130"/>
      <c r="BA345" s="130"/>
      <c r="BB345" s="130"/>
      <c r="BC345" s="130"/>
      <c r="BD345" s="130"/>
      <c r="BE345" s="130"/>
      <c r="BF345" s="130"/>
      <c r="BG345" s="130"/>
      <c r="BH345" s="130"/>
      <c r="BI345" s="130"/>
      <c r="BJ345" s="130"/>
      <c r="BK345" s="130"/>
      <c r="BL345" s="130"/>
      <c r="BM345" s="130"/>
      <c r="BN345" s="130"/>
      <c r="BO345" s="130"/>
    </row>
    <row r="346" spans="16:67" s="166" customFormat="1" x14ac:dyDescent="0.2">
      <c r="Q346" s="128"/>
      <c r="R346" s="130"/>
      <c r="S346" s="165"/>
      <c r="T346" s="130"/>
      <c r="U346" s="130"/>
      <c r="V346" s="130"/>
      <c r="W346" s="130"/>
      <c r="X346" s="130"/>
      <c r="Y346" s="130"/>
      <c r="Z346" s="130"/>
      <c r="AA346" s="130"/>
      <c r="AB346" s="130"/>
      <c r="AC346" s="130"/>
      <c r="AD346" s="130"/>
      <c r="AE346" s="130"/>
      <c r="AF346" s="130"/>
      <c r="AG346" s="130"/>
      <c r="AH346" s="130"/>
      <c r="AI346" s="130"/>
      <c r="AJ346" s="130"/>
      <c r="AK346" s="130"/>
      <c r="AL346" s="130"/>
      <c r="AM346" s="130"/>
      <c r="AN346" s="130"/>
      <c r="AO346" s="130"/>
      <c r="AP346" s="130"/>
      <c r="AQ346" s="130"/>
      <c r="AR346" s="130"/>
      <c r="AS346" s="130"/>
      <c r="AT346" s="130"/>
      <c r="AU346" s="130"/>
      <c r="AV346" s="130"/>
      <c r="AW346" s="130"/>
      <c r="AX346" s="130"/>
      <c r="AY346" s="130"/>
      <c r="AZ346" s="130"/>
      <c r="BA346" s="130"/>
      <c r="BB346" s="130"/>
      <c r="BC346" s="130"/>
      <c r="BD346" s="130"/>
      <c r="BE346" s="130"/>
      <c r="BF346" s="130"/>
      <c r="BG346" s="130"/>
      <c r="BH346" s="130"/>
      <c r="BI346" s="130"/>
      <c r="BJ346" s="130"/>
      <c r="BK346" s="130"/>
      <c r="BL346" s="130"/>
      <c r="BM346" s="130"/>
      <c r="BN346" s="130"/>
      <c r="BO346" s="130"/>
    </row>
    <row r="347" spans="16:67" s="166" customFormat="1" x14ac:dyDescent="0.2">
      <c r="Q347" s="128"/>
      <c r="R347" s="130"/>
      <c r="S347" s="165"/>
      <c r="T347" s="130"/>
      <c r="U347" s="130"/>
      <c r="V347" s="130"/>
      <c r="W347" s="130"/>
      <c r="X347" s="130"/>
      <c r="Y347" s="130"/>
      <c r="Z347" s="130"/>
      <c r="AA347" s="130"/>
      <c r="AB347" s="130"/>
      <c r="AC347" s="130"/>
      <c r="AD347" s="130"/>
      <c r="AE347" s="130"/>
      <c r="AF347" s="130"/>
      <c r="AG347" s="130"/>
      <c r="AH347" s="130"/>
      <c r="AI347" s="130"/>
      <c r="AJ347" s="130"/>
      <c r="AK347" s="130"/>
      <c r="AL347" s="130"/>
      <c r="AM347" s="130"/>
      <c r="AN347" s="130"/>
      <c r="AO347" s="130"/>
      <c r="AP347" s="130"/>
      <c r="AQ347" s="130"/>
      <c r="AR347" s="130"/>
      <c r="AS347" s="130"/>
      <c r="AT347" s="130"/>
      <c r="AU347" s="130"/>
      <c r="AV347" s="130"/>
      <c r="AW347" s="130"/>
      <c r="AX347" s="130"/>
      <c r="AY347" s="130"/>
      <c r="AZ347" s="130"/>
      <c r="BA347" s="130"/>
      <c r="BB347" s="130"/>
      <c r="BC347" s="130"/>
      <c r="BD347" s="130"/>
      <c r="BE347" s="130"/>
      <c r="BF347" s="130"/>
      <c r="BG347" s="130"/>
      <c r="BH347" s="130"/>
      <c r="BI347" s="130"/>
      <c r="BJ347" s="130"/>
      <c r="BK347" s="130"/>
      <c r="BL347" s="130"/>
      <c r="BM347" s="130"/>
      <c r="BN347" s="130"/>
      <c r="BO347" s="130"/>
    </row>
    <row r="348" spans="16:67" s="166" customFormat="1" x14ac:dyDescent="0.2">
      <c r="Q348" s="128"/>
      <c r="R348" s="130"/>
      <c r="S348" s="165"/>
      <c r="T348" s="130"/>
      <c r="U348" s="130"/>
      <c r="V348" s="130"/>
      <c r="W348" s="130"/>
      <c r="X348" s="130"/>
      <c r="Y348" s="130"/>
      <c r="Z348" s="130"/>
      <c r="AA348" s="130"/>
      <c r="AB348" s="130"/>
      <c r="AC348" s="130"/>
      <c r="AD348" s="130"/>
      <c r="AE348" s="130"/>
      <c r="AF348" s="130"/>
      <c r="AG348" s="130"/>
      <c r="AH348" s="130"/>
      <c r="AI348" s="130"/>
      <c r="AJ348" s="130"/>
      <c r="AK348" s="130"/>
      <c r="AL348" s="130"/>
      <c r="AM348" s="130"/>
      <c r="AN348" s="130"/>
      <c r="AO348" s="130"/>
      <c r="AP348" s="130"/>
      <c r="AQ348" s="190"/>
      <c r="AR348" s="190"/>
      <c r="AS348" s="190"/>
      <c r="AT348" s="190"/>
      <c r="AU348" s="190"/>
      <c r="AV348" s="190"/>
      <c r="AW348" s="190"/>
      <c r="AX348" s="130"/>
      <c r="AY348" s="130"/>
      <c r="AZ348" s="130"/>
      <c r="BA348" s="130"/>
      <c r="BB348" s="130"/>
      <c r="BC348" s="130"/>
      <c r="BD348" s="130"/>
      <c r="BE348" s="130"/>
      <c r="BF348" s="130"/>
      <c r="BG348" s="130"/>
      <c r="BH348" s="130"/>
      <c r="BI348" s="130"/>
      <c r="BJ348" s="130"/>
      <c r="BK348" s="130"/>
      <c r="BL348" s="130"/>
      <c r="BM348" s="130"/>
      <c r="BN348" s="130"/>
      <c r="BO348" s="130"/>
    </row>
    <row r="349" spans="16:67" s="166" customFormat="1" x14ac:dyDescent="0.2">
      <c r="Q349" s="128"/>
      <c r="R349" s="130"/>
      <c r="S349" s="165"/>
      <c r="T349" s="130"/>
      <c r="U349" s="130"/>
      <c r="V349" s="130"/>
      <c r="W349" s="130"/>
      <c r="X349" s="130"/>
      <c r="Y349" s="130"/>
      <c r="Z349" s="130"/>
      <c r="AA349" s="130"/>
      <c r="AB349" s="130"/>
      <c r="AC349" s="130"/>
      <c r="AD349" s="130"/>
      <c r="AE349" s="130"/>
      <c r="AF349" s="130"/>
      <c r="AG349" s="130"/>
      <c r="AH349" s="130"/>
      <c r="AI349" s="130"/>
      <c r="AJ349" s="130"/>
      <c r="AK349" s="130"/>
      <c r="AL349" s="130"/>
      <c r="AM349" s="130"/>
      <c r="AN349" s="130"/>
      <c r="AO349" s="130"/>
      <c r="AP349" s="130"/>
      <c r="AQ349" s="190"/>
      <c r="AR349" s="190"/>
      <c r="AS349" s="190"/>
      <c r="AT349" s="190"/>
      <c r="AU349" s="190"/>
      <c r="AV349" s="190"/>
      <c r="AW349" s="190"/>
      <c r="AX349" s="130"/>
      <c r="AY349" s="130"/>
      <c r="AZ349" s="130"/>
      <c r="BA349" s="130"/>
      <c r="BB349" s="130"/>
      <c r="BC349" s="130"/>
      <c r="BD349" s="130"/>
      <c r="BE349" s="130"/>
      <c r="BF349" s="130"/>
      <c r="BG349" s="130"/>
      <c r="BH349" s="130"/>
      <c r="BI349" s="130"/>
      <c r="BJ349" s="130"/>
      <c r="BK349" s="130"/>
      <c r="BL349" s="130"/>
      <c r="BM349" s="130"/>
      <c r="BN349" s="130"/>
      <c r="BO349" s="130"/>
    </row>
    <row r="350" spans="16:67" s="166" customFormat="1" x14ac:dyDescent="0.2">
      <c r="Q350" s="128"/>
      <c r="R350" s="130"/>
      <c r="S350" s="165"/>
      <c r="T350" s="130"/>
      <c r="U350" s="130"/>
      <c r="V350" s="130"/>
      <c r="W350" s="130"/>
      <c r="X350" s="130"/>
      <c r="Y350" s="130"/>
      <c r="Z350" s="130"/>
      <c r="AA350" s="130"/>
      <c r="AB350" s="130"/>
      <c r="AC350" s="130"/>
      <c r="AD350" s="130"/>
      <c r="AE350" s="130"/>
      <c r="AF350" s="130"/>
      <c r="AG350" s="130"/>
      <c r="AH350" s="130"/>
      <c r="AI350" s="130"/>
      <c r="AJ350" s="130"/>
      <c r="AK350" s="130"/>
      <c r="AL350" s="130"/>
      <c r="AM350" s="130"/>
      <c r="AN350" s="130"/>
      <c r="AO350" s="130"/>
      <c r="AP350" s="130"/>
      <c r="AQ350" s="190"/>
      <c r="AR350" s="190"/>
      <c r="AS350" s="190"/>
      <c r="AT350" s="190"/>
      <c r="AU350" s="190"/>
      <c r="AV350" s="190"/>
      <c r="AW350" s="190"/>
      <c r="AX350" s="130"/>
      <c r="AY350" s="130"/>
      <c r="AZ350" s="130"/>
      <c r="BA350" s="130"/>
      <c r="BB350" s="130"/>
      <c r="BC350" s="130"/>
      <c r="BD350" s="130"/>
      <c r="BE350" s="130"/>
      <c r="BF350" s="130"/>
      <c r="BG350" s="130"/>
      <c r="BH350" s="130"/>
      <c r="BI350" s="130"/>
      <c r="BJ350" s="130"/>
      <c r="BK350" s="130"/>
      <c r="BL350" s="130"/>
      <c r="BM350" s="130"/>
      <c r="BN350" s="130"/>
      <c r="BO350" s="130"/>
    </row>
    <row r="351" spans="16:67" s="166" customFormat="1" x14ac:dyDescent="0.2">
      <c r="Q351" s="128"/>
      <c r="R351" s="130"/>
      <c r="S351" s="165"/>
      <c r="T351" s="130"/>
      <c r="U351" s="130"/>
      <c r="V351" s="130"/>
      <c r="W351" s="130"/>
      <c r="X351" s="130"/>
      <c r="Y351" s="130"/>
      <c r="Z351" s="130"/>
      <c r="AA351" s="130"/>
      <c r="AB351" s="130"/>
      <c r="AC351" s="130"/>
      <c r="AD351" s="130"/>
      <c r="AE351" s="130"/>
      <c r="AF351" s="130"/>
      <c r="AG351" s="130"/>
      <c r="AH351" s="130"/>
      <c r="AI351" s="130"/>
      <c r="AJ351" s="130"/>
      <c r="AK351" s="130"/>
      <c r="AL351" s="130"/>
      <c r="AM351" s="130"/>
      <c r="AN351" s="130"/>
      <c r="AO351" s="130"/>
      <c r="AP351" s="130"/>
      <c r="AQ351" s="190"/>
      <c r="AR351" s="190"/>
      <c r="AS351" s="190"/>
      <c r="AT351" s="190"/>
      <c r="AU351" s="190"/>
      <c r="AV351" s="190"/>
      <c r="AW351" s="190"/>
      <c r="AX351" s="130"/>
      <c r="AY351" s="130"/>
      <c r="AZ351" s="130"/>
      <c r="BA351" s="130"/>
      <c r="BB351" s="130"/>
      <c r="BC351" s="130"/>
      <c r="BD351" s="130"/>
      <c r="BE351" s="130"/>
      <c r="BF351" s="130"/>
      <c r="BG351" s="130"/>
      <c r="BH351" s="130"/>
      <c r="BI351" s="130"/>
      <c r="BJ351" s="130"/>
      <c r="BK351" s="130"/>
      <c r="BL351" s="130"/>
      <c r="BM351" s="130"/>
      <c r="BN351" s="130"/>
      <c r="BO351" s="130"/>
    </row>
    <row r="352" spans="16:67" s="166" customFormat="1" x14ac:dyDescent="0.2">
      <c r="P352" s="191"/>
      <c r="Q352" s="128"/>
      <c r="R352" s="130"/>
      <c r="S352" s="165"/>
      <c r="T352" s="130"/>
      <c r="U352" s="130"/>
      <c r="V352" s="130"/>
      <c r="W352" s="130"/>
      <c r="X352" s="130"/>
      <c r="Y352" s="130"/>
      <c r="Z352" s="130"/>
      <c r="AA352" s="130"/>
      <c r="AB352" s="130"/>
      <c r="AC352" s="130"/>
      <c r="AD352" s="130"/>
      <c r="AE352" s="130"/>
      <c r="AF352" s="130"/>
      <c r="AG352" s="130"/>
      <c r="AH352" s="130"/>
      <c r="AI352" s="130"/>
      <c r="AJ352" s="130"/>
      <c r="AK352" s="130"/>
      <c r="AL352" s="130"/>
      <c r="AM352" s="130"/>
      <c r="AN352" s="130"/>
      <c r="AO352" s="130"/>
      <c r="AP352" s="130"/>
      <c r="AQ352" s="190"/>
      <c r="AR352" s="190"/>
      <c r="AS352" s="190"/>
      <c r="AT352" s="190"/>
      <c r="AU352" s="190"/>
      <c r="AV352" s="190"/>
      <c r="AW352" s="190"/>
      <c r="AX352" s="130"/>
      <c r="AY352" s="130"/>
      <c r="AZ352" s="130"/>
      <c r="BA352" s="130"/>
      <c r="BB352" s="130"/>
      <c r="BC352" s="130"/>
      <c r="BD352" s="130"/>
      <c r="BE352" s="130"/>
      <c r="BF352" s="130"/>
      <c r="BG352" s="130"/>
      <c r="BH352" s="130"/>
      <c r="BI352" s="130"/>
      <c r="BJ352" s="130"/>
      <c r="BK352" s="130"/>
      <c r="BL352" s="130"/>
      <c r="BM352" s="130"/>
      <c r="BN352" s="130"/>
      <c r="BO352" s="130"/>
    </row>
    <row r="353" spans="16:67" s="166" customFormat="1" x14ac:dyDescent="0.2">
      <c r="P353" s="191"/>
      <c r="Q353" s="128"/>
      <c r="R353" s="130"/>
      <c r="S353" s="165"/>
      <c r="T353" s="130"/>
      <c r="U353" s="130"/>
      <c r="V353" s="130"/>
      <c r="W353" s="130"/>
      <c r="X353" s="130"/>
      <c r="Y353" s="130"/>
      <c r="Z353" s="130"/>
      <c r="AA353" s="130"/>
      <c r="AB353" s="130"/>
      <c r="AC353" s="130"/>
      <c r="AD353" s="130"/>
      <c r="AE353" s="130"/>
      <c r="AF353" s="130"/>
      <c r="AG353" s="130"/>
      <c r="AH353" s="130"/>
      <c r="AI353" s="130"/>
      <c r="AJ353" s="130"/>
      <c r="AK353" s="130"/>
      <c r="AL353" s="130"/>
      <c r="AM353" s="130"/>
      <c r="AN353" s="130"/>
      <c r="AO353" s="130"/>
      <c r="AP353" s="130"/>
      <c r="AQ353" s="190"/>
      <c r="AR353" s="190"/>
      <c r="AS353" s="190"/>
      <c r="AT353" s="190"/>
      <c r="AU353" s="190"/>
      <c r="AV353" s="190"/>
      <c r="AW353" s="190"/>
      <c r="AX353" s="130"/>
      <c r="AY353" s="130"/>
      <c r="AZ353" s="130"/>
      <c r="BA353" s="130"/>
      <c r="BB353" s="130"/>
      <c r="BC353" s="130"/>
      <c r="BD353" s="130"/>
      <c r="BE353" s="130"/>
      <c r="BF353" s="130"/>
      <c r="BG353" s="130"/>
      <c r="BH353" s="130"/>
      <c r="BI353" s="130"/>
      <c r="BJ353" s="130"/>
      <c r="BK353" s="130"/>
      <c r="BL353" s="130"/>
      <c r="BM353" s="130"/>
      <c r="BN353" s="130"/>
      <c r="BO353" s="130"/>
    </row>
    <row r="354" spans="16:67" s="166" customFormat="1" x14ac:dyDescent="0.2">
      <c r="P354" s="191"/>
      <c r="Q354" s="128"/>
      <c r="R354" s="130"/>
      <c r="S354" s="165"/>
      <c r="T354" s="130"/>
      <c r="U354" s="130"/>
      <c r="V354" s="130"/>
      <c r="W354" s="130"/>
      <c r="X354" s="130"/>
      <c r="Y354" s="130"/>
      <c r="Z354" s="130"/>
      <c r="AA354" s="130"/>
      <c r="AB354" s="130"/>
      <c r="AC354" s="130"/>
      <c r="AD354" s="130"/>
      <c r="AE354" s="130"/>
      <c r="AF354" s="130"/>
      <c r="AG354" s="130"/>
      <c r="AH354" s="130"/>
      <c r="AI354" s="130"/>
      <c r="AJ354" s="130"/>
      <c r="AK354" s="130"/>
      <c r="AL354" s="130"/>
      <c r="AM354" s="130"/>
      <c r="AN354" s="130"/>
      <c r="AO354" s="130"/>
      <c r="AP354" s="130"/>
      <c r="AQ354" s="190"/>
      <c r="AR354" s="190"/>
      <c r="AS354" s="190"/>
      <c r="AT354" s="190"/>
      <c r="AU354" s="190"/>
      <c r="AV354" s="190"/>
      <c r="AW354" s="190"/>
      <c r="AX354" s="130"/>
      <c r="AY354" s="130"/>
      <c r="AZ354" s="130"/>
      <c r="BA354" s="130"/>
      <c r="BB354" s="130"/>
      <c r="BC354" s="130"/>
      <c r="BD354" s="130"/>
      <c r="BE354" s="130"/>
      <c r="BF354" s="130"/>
      <c r="BG354" s="130"/>
      <c r="BH354" s="130"/>
      <c r="BI354" s="130"/>
      <c r="BJ354" s="130"/>
      <c r="BK354" s="130"/>
      <c r="BL354" s="130"/>
      <c r="BM354" s="130"/>
      <c r="BN354" s="130"/>
      <c r="BO354" s="130"/>
    </row>
    <row r="355" spans="16:67" s="166" customFormat="1" x14ac:dyDescent="0.2">
      <c r="P355" s="191"/>
      <c r="Q355" s="128"/>
      <c r="R355" s="130"/>
      <c r="S355" s="165"/>
      <c r="T355" s="130"/>
      <c r="U355" s="130"/>
      <c r="V355" s="130"/>
      <c r="W355" s="130"/>
      <c r="X355" s="130"/>
      <c r="Y355" s="130"/>
      <c r="Z355" s="130"/>
      <c r="AA355" s="130"/>
      <c r="AB355" s="130"/>
      <c r="AC355" s="130"/>
      <c r="AD355" s="130"/>
      <c r="AE355" s="130"/>
      <c r="AF355" s="130"/>
      <c r="AG355" s="130"/>
      <c r="AH355" s="130"/>
      <c r="AI355" s="130"/>
      <c r="AJ355" s="130"/>
      <c r="AK355" s="130"/>
      <c r="AL355" s="130"/>
      <c r="AM355" s="130"/>
      <c r="AN355" s="130"/>
      <c r="AO355" s="130"/>
      <c r="AP355" s="130"/>
      <c r="AQ355" s="190"/>
      <c r="AR355" s="190"/>
      <c r="AS355" s="190"/>
      <c r="AT355" s="190"/>
      <c r="AU355" s="190"/>
      <c r="AV355" s="190"/>
      <c r="AW355" s="190"/>
      <c r="AX355" s="130"/>
      <c r="AY355" s="130"/>
      <c r="AZ355" s="130"/>
      <c r="BA355" s="130"/>
      <c r="BB355" s="130"/>
      <c r="BC355" s="130"/>
      <c r="BD355" s="130"/>
      <c r="BE355" s="130"/>
      <c r="BF355" s="130"/>
      <c r="BG355" s="130"/>
      <c r="BH355" s="130"/>
      <c r="BI355" s="130"/>
      <c r="BJ355" s="130"/>
      <c r="BK355" s="130"/>
      <c r="BL355" s="130"/>
      <c r="BM355" s="130"/>
      <c r="BN355" s="130"/>
      <c r="BO355" s="130"/>
    </row>
    <row r="356" spans="16:67" s="166" customFormat="1" x14ac:dyDescent="0.2">
      <c r="P356" s="191"/>
      <c r="Q356" s="128"/>
      <c r="R356" s="130"/>
      <c r="S356" s="165"/>
      <c r="T356" s="130"/>
      <c r="U356" s="130"/>
      <c r="V356" s="130"/>
      <c r="W356" s="130"/>
      <c r="X356" s="130"/>
      <c r="Y356" s="130"/>
      <c r="Z356" s="130"/>
      <c r="AA356" s="130"/>
      <c r="AB356" s="130"/>
      <c r="AC356" s="130"/>
      <c r="AD356" s="130"/>
      <c r="AE356" s="130"/>
      <c r="AF356" s="130"/>
      <c r="AG356" s="130"/>
      <c r="AH356" s="130"/>
      <c r="AI356" s="130"/>
      <c r="AJ356" s="130"/>
      <c r="AK356" s="130"/>
      <c r="AL356" s="130"/>
      <c r="AM356" s="130"/>
      <c r="AN356" s="130"/>
      <c r="AO356" s="130"/>
      <c r="AP356" s="130"/>
      <c r="AQ356" s="190"/>
      <c r="AR356" s="190"/>
      <c r="AS356" s="190"/>
      <c r="AT356" s="190"/>
      <c r="AU356" s="190"/>
      <c r="AV356" s="190"/>
      <c r="AW356" s="190"/>
      <c r="AX356" s="130"/>
      <c r="AY356" s="130"/>
      <c r="AZ356" s="130"/>
      <c r="BA356" s="130"/>
      <c r="BB356" s="130"/>
      <c r="BC356" s="130"/>
      <c r="BD356" s="130"/>
      <c r="BE356" s="130"/>
      <c r="BF356" s="130"/>
      <c r="BG356" s="130"/>
      <c r="BH356" s="130"/>
      <c r="BI356" s="130"/>
      <c r="BJ356" s="130"/>
      <c r="BK356" s="130"/>
      <c r="BL356" s="130"/>
      <c r="BM356" s="130"/>
      <c r="BN356" s="130"/>
      <c r="BO356" s="130"/>
    </row>
    <row r="357" spans="16:67" s="166" customFormat="1" x14ac:dyDescent="0.2">
      <c r="P357" s="191"/>
      <c r="Q357" s="128"/>
      <c r="R357" s="130"/>
      <c r="S357" s="165"/>
      <c r="T357" s="130"/>
      <c r="U357" s="130"/>
      <c r="V357" s="130"/>
      <c r="W357" s="130"/>
      <c r="X357" s="130"/>
      <c r="Y357" s="130"/>
      <c r="Z357" s="130"/>
      <c r="AA357" s="130"/>
      <c r="AB357" s="130"/>
      <c r="AC357" s="130"/>
      <c r="AD357" s="130"/>
      <c r="AE357" s="130"/>
      <c r="AF357" s="130"/>
      <c r="AG357" s="130"/>
      <c r="AH357" s="130"/>
      <c r="AI357" s="130"/>
      <c r="AJ357" s="130"/>
      <c r="AK357" s="130"/>
      <c r="AL357" s="130"/>
      <c r="AM357" s="130"/>
      <c r="AN357" s="130"/>
      <c r="AO357" s="130"/>
      <c r="AP357" s="130"/>
      <c r="AQ357" s="190"/>
      <c r="AR357" s="190"/>
      <c r="AS357" s="190"/>
      <c r="AT357" s="190"/>
      <c r="AU357" s="190"/>
      <c r="AV357" s="190"/>
      <c r="AW357" s="190"/>
      <c r="AX357" s="130"/>
      <c r="AY357" s="130"/>
      <c r="AZ357" s="130"/>
      <c r="BA357" s="130"/>
      <c r="BB357" s="130"/>
      <c r="BC357" s="130"/>
      <c r="BD357" s="130"/>
      <c r="BE357" s="130"/>
      <c r="BF357" s="130"/>
      <c r="BG357" s="130"/>
      <c r="BH357" s="130"/>
      <c r="BI357" s="130"/>
      <c r="BJ357" s="130"/>
      <c r="BK357" s="130"/>
      <c r="BL357" s="130"/>
      <c r="BM357" s="130"/>
      <c r="BN357" s="130"/>
      <c r="BO357" s="130"/>
    </row>
    <row r="358" spans="16:67" s="166" customFormat="1" x14ac:dyDescent="0.2">
      <c r="P358" s="191"/>
      <c r="Q358" s="128"/>
      <c r="R358" s="130"/>
      <c r="S358" s="165"/>
      <c r="T358" s="130"/>
      <c r="U358" s="130"/>
      <c r="V358" s="130"/>
      <c r="W358" s="130"/>
      <c r="X358" s="130"/>
      <c r="Y358" s="130"/>
      <c r="Z358" s="130"/>
      <c r="AA358" s="130"/>
      <c r="AB358" s="130"/>
      <c r="AC358" s="130"/>
      <c r="AD358" s="130"/>
      <c r="AE358" s="130"/>
      <c r="AF358" s="130"/>
      <c r="AG358" s="130"/>
      <c r="AH358" s="130"/>
      <c r="AI358" s="130"/>
      <c r="AJ358" s="130"/>
      <c r="AK358" s="130"/>
      <c r="AL358" s="130"/>
      <c r="AM358" s="130"/>
      <c r="AN358" s="130"/>
      <c r="AO358" s="130"/>
      <c r="AP358" s="130"/>
      <c r="AQ358" s="190"/>
      <c r="AR358" s="190"/>
      <c r="AS358" s="190"/>
      <c r="AT358" s="190"/>
      <c r="AU358" s="190"/>
      <c r="AV358" s="190"/>
      <c r="AW358" s="190"/>
      <c r="AX358" s="130"/>
      <c r="AY358" s="130"/>
      <c r="AZ358" s="130"/>
      <c r="BA358" s="130"/>
      <c r="BB358" s="130"/>
      <c r="BC358" s="130"/>
      <c r="BD358" s="130"/>
      <c r="BE358" s="130"/>
      <c r="BF358" s="130"/>
      <c r="BG358" s="130"/>
      <c r="BH358" s="130"/>
      <c r="BI358" s="130"/>
      <c r="BJ358" s="130"/>
      <c r="BK358" s="130"/>
      <c r="BL358" s="130"/>
      <c r="BM358" s="130"/>
      <c r="BN358" s="130"/>
      <c r="BO358" s="130"/>
    </row>
    <row r="359" spans="16:67" s="166" customFormat="1" x14ac:dyDescent="0.2">
      <c r="P359" s="191"/>
      <c r="Q359" s="128"/>
      <c r="R359" s="130"/>
      <c r="S359" s="165"/>
      <c r="T359" s="130"/>
      <c r="U359" s="130"/>
      <c r="V359" s="130"/>
      <c r="W359" s="130"/>
      <c r="X359" s="130"/>
      <c r="Y359" s="130"/>
      <c r="Z359" s="130"/>
      <c r="AA359" s="130"/>
      <c r="AB359" s="130"/>
      <c r="AC359" s="130"/>
      <c r="AD359" s="130"/>
      <c r="AE359" s="130"/>
      <c r="AF359" s="130"/>
      <c r="AG359" s="130"/>
      <c r="AH359" s="130"/>
      <c r="AI359" s="130"/>
      <c r="AJ359" s="130"/>
      <c r="AK359" s="130"/>
      <c r="AL359" s="130"/>
      <c r="AM359" s="130"/>
      <c r="AN359" s="130"/>
      <c r="AO359" s="130"/>
      <c r="AP359" s="130"/>
      <c r="AQ359" s="190"/>
      <c r="AR359" s="190"/>
      <c r="AS359" s="190"/>
      <c r="AT359" s="190"/>
      <c r="AU359" s="190"/>
      <c r="AV359" s="190"/>
      <c r="AW359" s="190"/>
      <c r="AX359" s="130"/>
      <c r="AY359" s="130"/>
      <c r="AZ359" s="130"/>
      <c r="BA359" s="130"/>
      <c r="BB359" s="130"/>
      <c r="BC359" s="130"/>
      <c r="BD359" s="130"/>
      <c r="BE359" s="130"/>
      <c r="BF359" s="130"/>
      <c r="BG359" s="130"/>
      <c r="BH359" s="130"/>
      <c r="BI359" s="130"/>
      <c r="BJ359" s="130"/>
      <c r="BK359" s="130"/>
      <c r="BL359" s="130"/>
      <c r="BM359" s="130"/>
      <c r="BN359" s="130"/>
      <c r="BO359" s="130"/>
    </row>
    <row r="360" spans="16:67" s="166" customFormat="1" x14ac:dyDescent="0.2">
      <c r="P360" s="191"/>
      <c r="Q360" s="128"/>
      <c r="R360" s="130"/>
      <c r="S360" s="165"/>
      <c r="T360" s="130"/>
      <c r="U360" s="130"/>
      <c r="V360" s="130"/>
      <c r="W360" s="130"/>
      <c r="X360" s="130"/>
      <c r="Y360" s="130"/>
      <c r="Z360" s="130"/>
      <c r="AA360" s="130"/>
      <c r="AB360" s="130"/>
      <c r="AC360" s="130"/>
      <c r="AD360" s="130"/>
      <c r="AE360" s="130"/>
      <c r="AF360" s="130"/>
      <c r="AG360" s="130"/>
      <c r="AH360" s="130"/>
      <c r="AI360" s="130"/>
      <c r="AJ360" s="130"/>
      <c r="AK360" s="130"/>
      <c r="AL360" s="130"/>
      <c r="AM360" s="130"/>
      <c r="AN360" s="130"/>
      <c r="AO360" s="130"/>
      <c r="AP360" s="130"/>
      <c r="AQ360" s="190"/>
      <c r="AR360" s="190"/>
      <c r="AS360" s="190"/>
      <c r="AT360" s="190"/>
      <c r="AU360" s="190"/>
      <c r="AV360" s="190"/>
      <c r="AW360" s="190"/>
      <c r="AX360" s="130"/>
      <c r="AY360" s="130"/>
      <c r="AZ360" s="130"/>
      <c r="BA360" s="130"/>
      <c r="BB360" s="130"/>
      <c r="BC360" s="130"/>
      <c r="BD360" s="130"/>
      <c r="BE360" s="130"/>
      <c r="BF360" s="130"/>
      <c r="BG360" s="130"/>
      <c r="BH360" s="130"/>
      <c r="BI360" s="130"/>
      <c r="BJ360" s="130"/>
      <c r="BK360" s="130"/>
      <c r="BL360" s="130"/>
      <c r="BM360" s="130"/>
      <c r="BN360" s="130"/>
      <c r="BO360" s="130"/>
    </row>
    <row r="361" spans="16:67" s="166" customFormat="1" x14ac:dyDescent="0.2">
      <c r="P361" s="191"/>
      <c r="Q361" s="128"/>
      <c r="R361" s="130"/>
      <c r="S361" s="165"/>
      <c r="T361" s="130"/>
      <c r="U361" s="130"/>
      <c r="V361" s="130"/>
      <c r="W361" s="130"/>
      <c r="X361" s="130"/>
      <c r="Y361" s="130"/>
      <c r="Z361" s="130"/>
      <c r="AA361" s="130"/>
      <c r="AB361" s="130"/>
      <c r="AC361" s="130"/>
      <c r="AD361" s="130"/>
      <c r="AE361" s="130"/>
      <c r="AF361" s="130"/>
      <c r="AG361" s="130"/>
      <c r="AH361" s="130"/>
      <c r="AI361" s="130"/>
      <c r="AJ361" s="130"/>
      <c r="AK361" s="130"/>
      <c r="AL361" s="130"/>
      <c r="AM361" s="130"/>
      <c r="AN361" s="130"/>
      <c r="AO361" s="130"/>
      <c r="AP361" s="130"/>
      <c r="AQ361" s="190"/>
      <c r="AR361" s="190"/>
      <c r="AS361" s="190"/>
      <c r="AT361" s="190"/>
      <c r="AU361" s="190"/>
      <c r="AV361" s="190"/>
      <c r="AW361" s="190"/>
      <c r="AX361" s="130"/>
      <c r="AY361" s="130"/>
      <c r="AZ361" s="130"/>
      <c r="BA361" s="130"/>
      <c r="BB361" s="130"/>
      <c r="BC361" s="130"/>
      <c r="BD361" s="130"/>
      <c r="BE361" s="130"/>
      <c r="BF361" s="130"/>
      <c r="BG361" s="130"/>
      <c r="BH361" s="130"/>
      <c r="BI361" s="130"/>
      <c r="BJ361" s="130"/>
      <c r="BK361" s="130"/>
      <c r="BL361" s="130"/>
      <c r="BM361" s="130"/>
      <c r="BN361" s="130"/>
      <c r="BO361" s="130"/>
    </row>
    <row r="362" spans="16:67" s="166" customFormat="1" x14ac:dyDescent="0.2">
      <c r="P362" s="191"/>
      <c r="Q362" s="128"/>
      <c r="R362" s="130"/>
      <c r="S362" s="165"/>
      <c r="T362" s="130"/>
      <c r="U362" s="130"/>
      <c r="V362" s="130"/>
      <c r="W362" s="130"/>
      <c r="X362" s="130"/>
      <c r="Y362" s="130"/>
      <c r="Z362" s="130"/>
      <c r="AA362" s="130"/>
      <c r="AB362" s="130"/>
      <c r="AC362" s="130"/>
      <c r="AD362" s="130"/>
      <c r="AE362" s="130"/>
      <c r="AF362" s="130"/>
      <c r="AG362" s="130"/>
      <c r="AH362" s="130"/>
      <c r="AI362" s="130"/>
      <c r="AJ362" s="130"/>
      <c r="AK362" s="130"/>
      <c r="AL362" s="130"/>
      <c r="AM362" s="130"/>
      <c r="AN362" s="130"/>
      <c r="AO362" s="130"/>
      <c r="AP362" s="130"/>
      <c r="AQ362" s="190"/>
      <c r="AR362" s="190"/>
      <c r="AS362" s="190"/>
      <c r="AT362" s="190"/>
      <c r="AU362" s="190"/>
      <c r="AV362" s="190"/>
      <c r="AW362" s="190"/>
      <c r="AX362" s="130"/>
      <c r="AY362" s="130"/>
      <c r="AZ362" s="130"/>
      <c r="BA362" s="130"/>
      <c r="BB362" s="130"/>
      <c r="BC362" s="130"/>
      <c r="BD362" s="130"/>
      <c r="BE362" s="130"/>
      <c r="BF362" s="130"/>
      <c r="BG362" s="130"/>
      <c r="BH362" s="130"/>
      <c r="BI362" s="130"/>
      <c r="BJ362" s="130"/>
      <c r="BK362" s="130"/>
      <c r="BL362" s="130"/>
      <c r="BM362" s="130"/>
      <c r="BN362" s="130"/>
      <c r="BO362" s="130"/>
    </row>
    <row r="363" spans="16:67" s="166" customFormat="1" x14ac:dyDescent="0.2">
      <c r="P363" s="191"/>
      <c r="Q363" s="128"/>
      <c r="R363" s="130"/>
      <c r="S363" s="165"/>
      <c r="T363" s="130"/>
      <c r="U363" s="130"/>
      <c r="V363" s="130"/>
      <c r="W363" s="130"/>
      <c r="X363" s="130"/>
      <c r="Y363" s="130"/>
      <c r="Z363" s="130"/>
      <c r="AA363" s="130"/>
      <c r="AB363" s="130"/>
      <c r="AC363" s="130"/>
      <c r="AD363" s="130"/>
      <c r="AE363" s="130"/>
      <c r="AF363" s="130"/>
      <c r="AG363" s="130"/>
      <c r="AH363" s="130"/>
      <c r="AI363" s="130"/>
      <c r="AJ363" s="130"/>
      <c r="AK363" s="130"/>
      <c r="AL363" s="130"/>
      <c r="AM363" s="130"/>
      <c r="AN363" s="130"/>
      <c r="AO363" s="130"/>
      <c r="AP363" s="130"/>
      <c r="AQ363" s="190"/>
      <c r="AR363" s="190"/>
      <c r="AS363" s="190"/>
      <c r="AT363" s="190"/>
      <c r="AU363" s="190"/>
      <c r="AV363" s="190"/>
      <c r="AW363" s="190"/>
      <c r="AX363" s="130"/>
      <c r="AY363" s="130"/>
      <c r="AZ363" s="130"/>
      <c r="BA363" s="130"/>
      <c r="BB363" s="130"/>
      <c r="BC363" s="130"/>
      <c r="BD363" s="130"/>
      <c r="BE363" s="130"/>
      <c r="BF363" s="130"/>
      <c r="BG363" s="130"/>
      <c r="BH363" s="130"/>
      <c r="BI363" s="130"/>
      <c r="BJ363" s="130"/>
      <c r="BK363" s="130"/>
      <c r="BL363" s="130"/>
      <c r="BM363" s="130"/>
      <c r="BN363" s="130"/>
      <c r="BO363" s="130"/>
    </row>
    <row r="364" spans="16:67" s="166" customFormat="1" x14ac:dyDescent="0.2">
      <c r="P364" s="191"/>
      <c r="Q364" s="128"/>
      <c r="R364" s="130"/>
      <c r="S364" s="165"/>
      <c r="T364" s="130"/>
      <c r="U364" s="130"/>
      <c r="V364" s="130"/>
      <c r="W364" s="130"/>
      <c r="X364" s="130"/>
      <c r="Y364" s="130"/>
      <c r="Z364" s="130"/>
      <c r="AA364" s="130"/>
      <c r="AB364" s="130"/>
      <c r="AC364" s="130"/>
      <c r="AD364" s="130"/>
      <c r="AE364" s="130"/>
      <c r="AF364" s="130"/>
      <c r="AG364" s="130"/>
      <c r="AH364" s="130"/>
      <c r="AI364" s="130"/>
      <c r="AJ364" s="130"/>
      <c r="AK364" s="130"/>
      <c r="AL364" s="130"/>
      <c r="AM364" s="130"/>
      <c r="AN364" s="130"/>
      <c r="AO364" s="130"/>
      <c r="AP364" s="130"/>
      <c r="AQ364" s="190"/>
      <c r="AR364" s="190"/>
      <c r="AS364" s="190"/>
      <c r="AT364" s="190"/>
      <c r="AU364" s="190"/>
      <c r="AV364" s="190"/>
      <c r="AW364" s="190"/>
      <c r="AX364" s="130"/>
      <c r="AY364" s="130"/>
      <c r="AZ364" s="130"/>
      <c r="BA364" s="130"/>
      <c r="BB364" s="130"/>
      <c r="BC364" s="130"/>
      <c r="BD364" s="130"/>
      <c r="BE364" s="130"/>
      <c r="BF364" s="130"/>
      <c r="BG364" s="130"/>
      <c r="BH364" s="130"/>
      <c r="BI364" s="130"/>
      <c r="BJ364" s="130"/>
      <c r="BK364" s="130"/>
      <c r="BL364" s="130"/>
      <c r="BM364" s="130"/>
      <c r="BN364" s="130"/>
      <c r="BO364" s="130"/>
    </row>
    <row r="365" spans="16:67" s="166" customFormat="1" x14ac:dyDescent="0.2">
      <c r="P365" s="191"/>
      <c r="Q365" s="128"/>
      <c r="R365" s="130"/>
      <c r="S365" s="165"/>
      <c r="T365" s="130"/>
      <c r="U365" s="130"/>
      <c r="V365" s="130"/>
      <c r="W365" s="130"/>
      <c r="X365" s="130"/>
      <c r="Y365" s="130"/>
      <c r="Z365" s="130"/>
      <c r="AA365" s="130"/>
      <c r="AB365" s="130"/>
      <c r="AC365" s="130"/>
      <c r="AD365" s="130"/>
      <c r="AE365" s="130"/>
      <c r="AF365" s="130"/>
      <c r="AG365" s="130"/>
      <c r="AH365" s="130"/>
      <c r="AI365" s="130"/>
      <c r="AJ365" s="130"/>
      <c r="AK365" s="130"/>
      <c r="AL365" s="130"/>
      <c r="AM365" s="130"/>
      <c r="AN365" s="130"/>
      <c r="AO365" s="130"/>
      <c r="AP365" s="130"/>
      <c r="AQ365" s="190"/>
      <c r="AR365" s="190"/>
      <c r="AS365" s="190"/>
      <c r="AT365" s="190"/>
      <c r="AU365" s="190"/>
      <c r="AV365" s="190"/>
      <c r="AW365" s="190"/>
      <c r="AX365" s="130"/>
      <c r="AY365" s="130"/>
      <c r="AZ365" s="130"/>
      <c r="BA365" s="130"/>
      <c r="BB365" s="130"/>
      <c r="BC365" s="130"/>
      <c r="BD365" s="130"/>
      <c r="BE365" s="130"/>
      <c r="BF365" s="130"/>
      <c r="BG365" s="130"/>
      <c r="BH365" s="130"/>
      <c r="BI365" s="130"/>
      <c r="BJ365" s="130"/>
      <c r="BK365" s="130"/>
      <c r="BL365" s="130"/>
      <c r="BM365" s="130"/>
      <c r="BN365" s="130"/>
      <c r="BO365" s="130"/>
    </row>
    <row r="366" spans="16:67" s="166" customFormat="1" x14ac:dyDescent="0.2">
      <c r="P366" s="191"/>
      <c r="Q366" s="128"/>
      <c r="R366" s="130"/>
      <c r="S366" s="165"/>
      <c r="T366" s="130"/>
      <c r="U366" s="130"/>
      <c r="V366" s="130"/>
      <c r="W366" s="130"/>
      <c r="X366" s="130"/>
      <c r="Y366" s="130"/>
      <c r="Z366" s="130"/>
      <c r="AA366" s="130"/>
      <c r="AB366" s="130"/>
      <c r="AC366" s="130"/>
      <c r="AD366" s="130"/>
      <c r="AE366" s="130"/>
      <c r="AF366" s="130"/>
      <c r="AG366" s="130"/>
      <c r="AH366" s="130"/>
      <c r="AI366" s="130"/>
      <c r="AJ366" s="130"/>
      <c r="AK366" s="130"/>
      <c r="AL366" s="130"/>
      <c r="AM366" s="130"/>
      <c r="AN366" s="130"/>
      <c r="AO366" s="130"/>
      <c r="AP366" s="130"/>
      <c r="AQ366" s="190"/>
      <c r="AR366" s="190"/>
      <c r="AS366" s="190"/>
      <c r="AT366" s="190"/>
      <c r="AU366" s="190"/>
      <c r="AV366" s="190"/>
      <c r="AW366" s="190"/>
      <c r="AX366" s="130"/>
      <c r="AY366" s="130"/>
      <c r="AZ366" s="130"/>
      <c r="BA366" s="130"/>
      <c r="BB366" s="130"/>
      <c r="BC366" s="130"/>
      <c r="BD366" s="130"/>
      <c r="BE366" s="130"/>
      <c r="BF366" s="130"/>
      <c r="BG366" s="130"/>
      <c r="BH366" s="130"/>
      <c r="BI366" s="130"/>
      <c r="BJ366" s="130"/>
      <c r="BK366" s="130"/>
      <c r="BL366" s="130"/>
      <c r="BM366" s="130"/>
      <c r="BN366" s="130"/>
      <c r="BO366" s="130"/>
    </row>
    <row r="367" spans="16:67" s="166" customFormat="1" x14ac:dyDescent="0.2">
      <c r="P367" s="191"/>
      <c r="Q367" s="128"/>
      <c r="R367" s="130"/>
      <c r="S367" s="165"/>
      <c r="T367" s="130"/>
      <c r="U367" s="130"/>
      <c r="V367" s="130"/>
      <c r="W367" s="130"/>
      <c r="X367" s="130"/>
      <c r="Y367" s="130"/>
      <c r="Z367" s="130"/>
      <c r="AA367" s="130"/>
      <c r="AB367" s="130"/>
      <c r="AC367" s="130"/>
      <c r="AD367" s="130"/>
      <c r="AE367" s="130"/>
      <c r="AF367" s="130"/>
      <c r="AG367" s="130"/>
      <c r="AH367" s="130"/>
      <c r="AI367" s="130"/>
      <c r="AJ367" s="130"/>
      <c r="AK367" s="130"/>
      <c r="AL367" s="130"/>
      <c r="AM367" s="130"/>
      <c r="AN367" s="130"/>
      <c r="AO367" s="130"/>
      <c r="AP367" s="130"/>
      <c r="AQ367" s="190"/>
      <c r="AR367" s="190"/>
      <c r="AS367" s="190"/>
      <c r="AT367" s="190"/>
      <c r="AU367" s="190"/>
      <c r="AV367" s="190"/>
      <c r="AW367" s="190"/>
      <c r="AX367" s="130"/>
      <c r="AY367" s="130"/>
      <c r="AZ367" s="130"/>
      <c r="BA367" s="130"/>
      <c r="BB367" s="130"/>
      <c r="BC367" s="130"/>
      <c r="BD367" s="130"/>
      <c r="BE367" s="130"/>
      <c r="BF367" s="130"/>
      <c r="BG367" s="130"/>
      <c r="BH367" s="130"/>
      <c r="BI367" s="130"/>
      <c r="BJ367" s="130"/>
      <c r="BK367" s="130"/>
      <c r="BL367" s="130"/>
      <c r="BM367" s="130"/>
      <c r="BN367" s="130"/>
      <c r="BO367" s="130"/>
    </row>
    <row r="368" spans="16:67" s="166" customFormat="1" x14ac:dyDescent="0.2">
      <c r="P368" s="191"/>
      <c r="Q368" s="128"/>
      <c r="R368" s="130"/>
      <c r="S368" s="165"/>
      <c r="T368" s="130"/>
      <c r="U368" s="130"/>
      <c r="V368" s="130"/>
      <c r="W368" s="130"/>
      <c r="X368" s="130"/>
      <c r="Y368" s="130"/>
      <c r="Z368" s="130"/>
      <c r="AA368" s="130"/>
      <c r="AB368" s="130"/>
      <c r="AC368" s="130"/>
      <c r="AD368" s="130"/>
      <c r="AE368" s="130"/>
      <c r="AF368" s="130"/>
      <c r="AG368" s="130"/>
      <c r="AH368" s="130"/>
      <c r="AI368" s="130"/>
      <c r="AJ368" s="130"/>
      <c r="AK368" s="130"/>
      <c r="AL368" s="130"/>
      <c r="AM368" s="130"/>
      <c r="AN368" s="130"/>
      <c r="AO368" s="130"/>
      <c r="AP368" s="130"/>
      <c r="AQ368" s="190"/>
      <c r="AR368" s="190"/>
      <c r="AS368" s="190"/>
      <c r="AT368" s="190"/>
      <c r="AU368" s="190"/>
      <c r="AV368" s="190"/>
      <c r="AW368" s="190"/>
      <c r="AX368" s="130"/>
      <c r="AY368" s="130"/>
      <c r="AZ368" s="130"/>
      <c r="BA368" s="130"/>
      <c r="BB368" s="130"/>
      <c r="BC368" s="130"/>
      <c r="BD368" s="130"/>
      <c r="BE368" s="130"/>
      <c r="BF368" s="130"/>
      <c r="BG368" s="130"/>
      <c r="BH368" s="130"/>
      <c r="BI368" s="130"/>
      <c r="BJ368" s="130"/>
      <c r="BK368" s="130"/>
      <c r="BL368" s="130"/>
      <c r="BM368" s="130"/>
      <c r="BN368" s="130"/>
      <c r="BO368" s="130"/>
    </row>
    <row r="369" spans="16:67" s="166" customFormat="1" x14ac:dyDescent="0.2">
      <c r="P369" s="191"/>
      <c r="Q369" s="128"/>
      <c r="R369" s="130"/>
      <c r="S369" s="165"/>
      <c r="T369" s="130"/>
      <c r="U369" s="130"/>
      <c r="V369" s="130"/>
      <c r="W369" s="130"/>
      <c r="X369" s="130"/>
      <c r="Y369" s="130"/>
      <c r="Z369" s="130"/>
      <c r="AA369" s="130"/>
      <c r="AB369" s="130"/>
      <c r="AC369" s="130"/>
      <c r="AD369" s="130"/>
      <c r="AE369" s="130"/>
      <c r="AF369" s="130"/>
      <c r="AG369" s="130"/>
      <c r="AH369" s="130"/>
      <c r="AI369" s="130"/>
      <c r="AJ369" s="130"/>
      <c r="AK369" s="130"/>
      <c r="AL369" s="130"/>
      <c r="AM369" s="130"/>
      <c r="AN369" s="130"/>
      <c r="AO369" s="130"/>
      <c r="AP369" s="130"/>
      <c r="AQ369" s="190"/>
      <c r="AR369" s="190"/>
      <c r="AS369" s="190"/>
      <c r="AT369" s="190"/>
      <c r="AU369" s="190"/>
      <c r="AV369" s="190"/>
      <c r="AW369" s="190"/>
      <c r="AX369" s="130"/>
      <c r="AY369" s="130"/>
      <c r="AZ369" s="130"/>
      <c r="BA369" s="130"/>
      <c r="BB369" s="130"/>
      <c r="BC369" s="130"/>
      <c r="BD369" s="130"/>
      <c r="BE369" s="130"/>
      <c r="BF369" s="130"/>
      <c r="BG369" s="130"/>
      <c r="BH369" s="130"/>
      <c r="BI369" s="130"/>
      <c r="BJ369" s="130"/>
      <c r="BK369" s="130"/>
      <c r="BL369" s="130"/>
      <c r="BM369" s="130"/>
      <c r="BN369" s="130"/>
      <c r="BO369" s="130"/>
    </row>
    <row r="370" spans="16:67" s="166" customFormat="1" x14ac:dyDescent="0.2">
      <c r="P370" s="191"/>
      <c r="Q370" s="128"/>
      <c r="R370" s="130"/>
      <c r="S370" s="165"/>
      <c r="T370" s="130"/>
      <c r="U370" s="130"/>
      <c r="V370" s="130"/>
      <c r="W370" s="130"/>
      <c r="X370" s="130"/>
      <c r="Y370" s="130"/>
      <c r="Z370" s="130"/>
      <c r="AA370" s="130"/>
      <c r="AB370" s="130"/>
      <c r="AC370" s="130"/>
      <c r="AD370" s="130"/>
      <c r="AE370" s="130"/>
      <c r="AF370" s="130"/>
      <c r="AG370" s="130"/>
      <c r="AH370" s="130"/>
      <c r="AI370" s="130"/>
      <c r="AJ370" s="130"/>
      <c r="AK370" s="130"/>
      <c r="AL370" s="130"/>
      <c r="AM370" s="130"/>
      <c r="AN370" s="130"/>
      <c r="AO370" s="130"/>
      <c r="AP370" s="130"/>
      <c r="AQ370" s="190"/>
      <c r="AR370" s="190"/>
      <c r="AS370" s="190"/>
      <c r="AT370" s="190"/>
      <c r="AU370" s="190"/>
      <c r="AV370" s="190"/>
      <c r="AW370" s="190"/>
      <c r="AX370" s="130"/>
      <c r="AY370" s="130"/>
      <c r="AZ370" s="130"/>
      <c r="BA370" s="130"/>
      <c r="BB370" s="130"/>
      <c r="BC370" s="130"/>
      <c r="BD370" s="130"/>
      <c r="BE370" s="130"/>
      <c r="BF370" s="130"/>
      <c r="BG370" s="130"/>
      <c r="BH370" s="130"/>
      <c r="BI370" s="130"/>
      <c r="BJ370" s="130"/>
      <c r="BK370" s="130"/>
      <c r="BL370" s="130"/>
      <c r="BM370" s="130"/>
      <c r="BN370" s="130"/>
      <c r="BO370" s="130"/>
    </row>
    <row r="371" spans="16:67" s="166" customFormat="1" x14ac:dyDescent="0.2">
      <c r="P371" s="191"/>
      <c r="Q371" s="128"/>
      <c r="R371" s="130"/>
      <c r="S371" s="165"/>
      <c r="T371" s="130"/>
      <c r="U371" s="130"/>
      <c r="V371" s="130"/>
      <c r="W371" s="130"/>
      <c r="X371" s="130"/>
      <c r="Y371" s="130"/>
      <c r="Z371" s="130"/>
      <c r="AA371" s="130"/>
      <c r="AB371" s="130"/>
      <c r="AC371" s="130"/>
      <c r="AD371" s="130"/>
      <c r="AE371" s="130"/>
      <c r="AF371" s="130"/>
      <c r="AG371" s="130"/>
      <c r="AH371" s="130"/>
      <c r="AI371" s="130"/>
      <c r="AJ371" s="130"/>
      <c r="AK371" s="130"/>
      <c r="AL371" s="130"/>
      <c r="AM371" s="130"/>
      <c r="AN371" s="130"/>
      <c r="AO371" s="130"/>
      <c r="AP371" s="130"/>
      <c r="AQ371" s="190"/>
      <c r="AR371" s="190"/>
      <c r="AS371" s="190"/>
      <c r="AT371" s="190"/>
      <c r="AU371" s="190"/>
      <c r="AV371" s="190"/>
      <c r="AW371" s="190"/>
      <c r="AX371" s="130"/>
      <c r="AY371" s="130"/>
      <c r="AZ371" s="130"/>
      <c r="BA371" s="130"/>
      <c r="BB371" s="130"/>
      <c r="BC371" s="130"/>
      <c r="BD371" s="130"/>
      <c r="BE371" s="130"/>
      <c r="BF371" s="130"/>
      <c r="BG371" s="130"/>
      <c r="BH371" s="130"/>
      <c r="BI371" s="130"/>
      <c r="BJ371" s="130"/>
      <c r="BK371" s="130"/>
      <c r="BL371" s="130"/>
      <c r="BM371" s="130"/>
      <c r="BN371" s="130"/>
      <c r="BO371" s="130"/>
    </row>
    <row r="372" spans="16:67" s="166" customFormat="1" x14ac:dyDescent="0.2">
      <c r="P372" s="191"/>
      <c r="Q372" s="128"/>
      <c r="R372" s="130"/>
      <c r="S372" s="165"/>
      <c r="T372" s="130"/>
      <c r="U372" s="130"/>
      <c r="V372" s="130"/>
      <c r="W372" s="130"/>
      <c r="X372" s="130"/>
      <c r="Y372" s="130"/>
      <c r="Z372" s="130"/>
      <c r="AA372" s="130"/>
      <c r="AB372" s="130"/>
      <c r="AC372" s="130"/>
      <c r="AD372" s="130"/>
      <c r="AE372" s="130"/>
      <c r="AF372" s="130"/>
      <c r="AG372" s="130"/>
      <c r="AH372" s="130"/>
      <c r="AI372" s="130"/>
      <c r="AJ372" s="130"/>
      <c r="AK372" s="130"/>
      <c r="AL372" s="130"/>
      <c r="AM372" s="130"/>
      <c r="AN372" s="130"/>
      <c r="AO372" s="130"/>
      <c r="AP372" s="130"/>
      <c r="AQ372" s="190"/>
      <c r="AR372" s="190"/>
      <c r="AS372" s="190"/>
      <c r="AT372" s="190"/>
      <c r="AU372" s="190"/>
      <c r="AV372" s="190"/>
      <c r="AW372" s="190"/>
      <c r="AX372" s="130"/>
      <c r="AY372" s="130"/>
      <c r="AZ372" s="130"/>
      <c r="BA372" s="130"/>
      <c r="BB372" s="130"/>
      <c r="BC372" s="130"/>
      <c r="BD372" s="130"/>
      <c r="BE372" s="130"/>
      <c r="BF372" s="130"/>
      <c r="BG372" s="130"/>
      <c r="BH372" s="130"/>
      <c r="BI372" s="130"/>
      <c r="BJ372" s="130"/>
      <c r="BK372" s="130"/>
      <c r="BL372" s="130"/>
      <c r="BM372" s="130"/>
      <c r="BN372" s="130"/>
      <c r="BO372" s="130"/>
    </row>
    <row r="373" spans="16:67" s="166" customFormat="1" x14ac:dyDescent="0.2">
      <c r="P373" s="191"/>
      <c r="Q373" s="128"/>
      <c r="R373" s="130"/>
      <c r="S373" s="165"/>
      <c r="T373" s="130"/>
      <c r="U373" s="130"/>
      <c r="V373" s="130"/>
      <c r="W373" s="130"/>
      <c r="X373" s="130"/>
      <c r="Y373" s="130"/>
      <c r="Z373" s="130"/>
      <c r="AA373" s="130"/>
      <c r="AB373" s="130"/>
      <c r="AC373" s="130"/>
      <c r="AD373" s="130"/>
      <c r="AE373" s="130"/>
      <c r="AF373" s="130"/>
      <c r="AG373" s="130"/>
      <c r="AH373" s="130"/>
      <c r="AI373" s="130"/>
      <c r="AJ373" s="130"/>
      <c r="AK373" s="130"/>
      <c r="AL373" s="130"/>
      <c r="AM373" s="130"/>
      <c r="AN373" s="130"/>
      <c r="AO373" s="130"/>
      <c r="AP373" s="130"/>
      <c r="AQ373" s="190"/>
      <c r="AR373" s="190"/>
      <c r="AS373" s="190"/>
      <c r="AT373" s="190"/>
      <c r="AU373" s="190"/>
      <c r="AV373" s="190"/>
      <c r="AW373" s="190"/>
      <c r="AX373" s="130"/>
      <c r="AY373" s="130"/>
      <c r="AZ373" s="130"/>
      <c r="BA373" s="130"/>
      <c r="BB373" s="130"/>
      <c r="BC373" s="130"/>
      <c r="BD373" s="130"/>
      <c r="BE373" s="130"/>
      <c r="BF373" s="130"/>
      <c r="BG373" s="130"/>
      <c r="BH373" s="130"/>
      <c r="BI373" s="130"/>
      <c r="BJ373" s="130"/>
      <c r="BK373" s="130"/>
      <c r="BL373" s="130"/>
      <c r="BM373" s="130"/>
      <c r="BN373" s="130"/>
      <c r="BO373" s="130"/>
    </row>
    <row r="374" spans="16:67" s="166" customFormat="1" x14ac:dyDescent="0.2">
      <c r="P374" s="191"/>
      <c r="Q374" s="128"/>
      <c r="R374" s="130"/>
      <c r="S374" s="165"/>
      <c r="T374" s="130"/>
      <c r="U374" s="130"/>
      <c r="V374" s="130"/>
      <c r="W374" s="130"/>
      <c r="X374" s="130"/>
      <c r="Y374" s="130"/>
      <c r="Z374" s="130"/>
      <c r="AA374" s="130"/>
      <c r="AB374" s="130"/>
      <c r="AC374" s="130"/>
      <c r="AD374" s="130"/>
      <c r="AE374" s="130"/>
      <c r="AF374" s="130"/>
      <c r="AG374" s="130"/>
      <c r="AH374" s="130"/>
      <c r="AI374" s="130"/>
      <c r="AJ374" s="130"/>
      <c r="AK374" s="130"/>
      <c r="AL374" s="130"/>
      <c r="AM374" s="130"/>
      <c r="AN374" s="130"/>
      <c r="AO374" s="130"/>
      <c r="AP374" s="130"/>
      <c r="AQ374" s="190"/>
      <c r="AR374" s="190"/>
      <c r="AS374" s="190"/>
      <c r="AT374" s="190"/>
      <c r="AU374" s="190"/>
      <c r="AV374" s="190"/>
      <c r="AW374" s="190"/>
      <c r="AX374" s="130"/>
      <c r="AY374" s="130"/>
      <c r="AZ374" s="130"/>
      <c r="BA374" s="130"/>
      <c r="BB374" s="130"/>
      <c r="BC374" s="130"/>
      <c r="BD374" s="130"/>
      <c r="BE374" s="130"/>
      <c r="BF374" s="130"/>
      <c r="BG374" s="130"/>
      <c r="BH374" s="130"/>
      <c r="BI374" s="130"/>
      <c r="BJ374" s="130"/>
      <c r="BK374" s="130"/>
      <c r="BL374" s="130"/>
      <c r="BM374" s="130"/>
      <c r="BN374" s="130"/>
      <c r="BO374" s="130"/>
    </row>
    <row r="375" spans="16:67" s="166" customFormat="1" x14ac:dyDescent="0.2">
      <c r="P375" s="191"/>
      <c r="Q375" s="128"/>
      <c r="R375" s="130"/>
      <c r="S375" s="165"/>
      <c r="T375" s="130"/>
      <c r="U375" s="130"/>
      <c r="V375" s="130"/>
      <c r="W375" s="130"/>
      <c r="X375" s="130"/>
      <c r="Y375" s="130"/>
      <c r="Z375" s="130"/>
      <c r="AA375" s="130"/>
      <c r="AB375" s="130"/>
      <c r="AC375" s="130"/>
      <c r="AD375" s="130"/>
      <c r="AE375" s="130"/>
      <c r="AF375" s="130"/>
      <c r="AG375" s="130"/>
      <c r="AH375" s="130"/>
      <c r="AI375" s="130"/>
      <c r="AJ375" s="130"/>
      <c r="AK375" s="130"/>
      <c r="AL375" s="130"/>
      <c r="AM375" s="130"/>
      <c r="AN375" s="130"/>
      <c r="AO375" s="130"/>
      <c r="AP375" s="130"/>
      <c r="AQ375" s="190"/>
      <c r="AR375" s="190"/>
      <c r="AS375" s="190"/>
      <c r="AT375" s="190"/>
      <c r="AU375" s="190"/>
      <c r="AV375" s="190"/>
      <c r="AW375" s="190"/>
      <c r="AX375" s="130"/>
      <c r="AY375" s="130"/>
      <c r="AZ375" s="130"/>
      <c r="BA375" s="130"/>
      <c r="BB375" s="130"/>
      <c r="BC375" s="130"/>
      <c r="BD375" s="130"/>
      <c r="BE375" s="130"/>
      <c r="BF375" s="130"/>
      <c r="BG375" s="130"/>
      <c r="BH375" s="130"/>
      <c r="BI375" s="130"/>
      <c r="BJ375" s="130"/>
      <c r="BK375" s="130"/>
      <c r="BL375" s="130"/>
      <c r="BM375" s="130"/>
      <c r="BN375" s="130"/>
      <c r="BO375" s="130"/>
    </row>
    <row r="376" spans="16:67" s="166" customFormat="1" x14ac:dyDescent="0.2">
      <c r="P376" s="191"/>
      <c r="Q376" s="128"/>
      <c r="R376" s="130"/>
      <c r="S376" s="165"/>
      <c r="T376" s="130"/>
      <c r="U376" s="130"/>
      <c r="V376" s="130"/>
      <c r="W376" s="130"/>
      <c r="X376" s="130"/>
      <c r="Y376" s="130"/>
      <c r="Z376" s="130"/>
      <c r="AA376" s="130"/>
      <c r="AB376" s="130"/>
      <c r="AC376" s="130"/>
      <c r="AD376" s="130"/>
      <c r="AE376" s="130"/>
      <c r="AF376" s="130"/>
      <c r="AG376" s="130"/>
      <c r="AH376" s="130"/>
      <c r="AI376" s="130"/>
      <c r="AJ376" s="130"/>
      <c r="AK376" s="130"/>
      <c r="AL376" s="130"/>
      <c r="AM376" s="130"/>
      <c r="AN376" s="130"/>
      <c r="AO376" s="130"/>
      <c r="AP376" s="130"/>
      <c r="AQ376" s="190"/>
      <c r="AR376" s="190"/>
      <c r="AS376" s="190"/>
      <c r="AT376" s="190"/>
      <c r="AU376" s="190"/>
      <c r="AV376" s="190"/>
      <c r="AW376" s="190"/>
      <c r="AX376" s="130"/>
      <c r="AY376" s="130"/>
      <c r="AZ376" s="130"/>
      <c r="BA376" s="130"/>
      <c r="BB376" s="130"/>
      <c r="BC376" s="130"/>
      <c r="BD376" s="130"/>
      <c r="BE376" s="130"/>
      <c r="BF376" s="130"/>
      <c r="BG376" s="130"/>
      <c r="BH376" s="130"/>
      <c r="BI376" s="130"/>
      <c r="BJ376" s="130"/>
      <c r="BK376" s="130"/>
      <c r="BL376" s="130"/>
      <c r="BM376" s="130"/>
      <c r="BN376" s="130"/>
      <c r="BO376" s="130"/>
    </row>
    <row r="377" spans="16:67" s="166" customFormat="1" x14ac:dyDescent="0.2">
      <c r="P377" s="191"/>
      <c r="Q377" s="128"/>
      <c r="R377" s="130"/>
      <c r="S377" s="165"/>
      <c r="T377" s="130"/>
      <c r="U377" s="130"/>
      <c r="V377" s="130"/>
      <c r="W377" s="130"/>
      <c r="X377" s="130"/>
      <c r="Y377" s="130"/>
      <c r="Z377" s="130"/>
      <c r="AA377" s="130"/>
      <c r="AB377" s="130"/>
      <c r="AC377" s="130"/>
      <c r="AD377" s="130"/>
      <c r="AE377" s="130"/>
      <c r="AF377" s="130"/>
      <c r="AG377" s="130"/>
      <c r="AH377" s="130"/>
      <c r="AI377" s="130"/>
      <c r="AJ377" s="130"/>
      <c r="AK377" s="130"/>
      <c r="AL377" s="130"/>
      <c r="AM377" s="130"/>
      <c r="AN377" s="130"/>
      <c r="AO377" s="130"/>
      <c r="AP377" s="130"/>
      <c r="AQ377" s="190"/>
      <c r="AR377" s="190"/>
      <c r="AS377" s="190"/>
      <c r="AT377" s="190"/>
      <c r="AU377" s="190"/>
      <c r="AV377" s="190"/>
      <c r="AW377" s="190"/>
      <c r="AX377" s="130"/>
      <c r="AY377" s="130"/>
      <c r="AZ377" s="130"/>
      <c r="BA377" s="130"/>
      <c r="BB377" s="130"/>
      <c r="BC377" s="130"/>
      <c r="BD377" s="130"/>
      <c r="BE377" s="130"/>
      <c r="BF377" s="130"/>
      <c r="BG377" s="130"/>
      <c r="BH377" s="130"/>
      <c r="BI377" s="130"/>
      <c r="BJ377" s="130"/>
      <c r="BK377" s="130"/>
      <c r="BL377" s="130"/>
      <c r="BM377" s="130"/>
      <c r="BN377" s="130"/>
      <c r="BO377" s="130"/>
    </row>
    <row r="378" spans="16:67" s="166" customFormat="1" x14ac:dyDescent="0.2">
      <c r="P378" s="191"/>
      <c r="Q378" s="128"/>
      <c r="R378" s="130"/>
      <c r="S378" s="165"/>
      <c r="T378" s="130"/>
      <c r="U378" s="130"/>
      <c r="V378" s="130"/>
      <c r="W378" s="130"/>
      <c r="X378" s="130"/>
      <c r="Y378" s="130"/>
      <c r="Z378" s="130"/>
      <c r="AA378" s="130"/>
      <c r="AB378" s="130"/>
      <c r="AC378" s="130"/>
      <c r="AD378" s="130"/>
      <c r="AE378" s="130"/>
      <c r="AF378" s="130"/>
      <c r="AG378" s="130"/>
      <c r="AH378" s="130"/>
      <c r="AI378" s="130"/>
      <c r="AJ378" s="130"/>
      <c r="AK378" s="130"/>
      <c r="AL378" s="130"/>
      <c r="AM378" s="130"/>
      <c r="AN378" s="130"/>
      <c r="AO378" s="130"/>
      <c r="AP378" s="130"/>
      <c r="AQ378" s="190"/>
      <c r="AR378" s="190"/>
      <c r="AS378" s="190"/>
      <c r="AT378" s="190"/>
      <c r="AU378" s="190"/>
      <c r="AV378" s="190"/>
      <c r="AW378" s="190"/>
      <c r="AX378" s="130"/>
      <c r="AY378" s="130"/>
      <c r="AZ378" s="130"/>
      <c r="BA378" s="130"/>
      <c r="BB378" s="130"/>
      <c r="BC378" s="130"/>
      <c r="BD378" s="130"/>
      <c r="BE378" s="130"/>
      <c r="BF378" s="130"/>
      <c r="BG378" s="130"/>
      <c r="BH378" s="130"/>
      <c r="BI378" s="130"/>
      <c r="BJ378" s="130"/>
      <c r="BK378" s="130"/>
      <c r="BL378" s="130"/>
      <c r="BM378" s="130"/>
      <c r="BN378" s="130"/>
      <c r="BO378" s="130"/>
    </row>
    <row r="379" spans="16:67" s="166" customFormat="1" x14ac:dyDescent="0.2">
      <c r="P379" s="191"/>
      <c r="Q379" s="128"/>
      <c r="R379" s="130"/>
      <c r="S379" s="165"/>
      <c r="T379" s="130"/>
      <c r="U379" s="130"/>
      <c r="V379" s="130"/>
      <c r="W379" s="130"/>
      <c r="X379" s="130"/>
      <c r="Y379" s="130"/>
      <c r="Z379" s="130"/>
      <c r="AA379" s="130"/>
      <c r="AB379" s="130"/>
      <c r="AC379" s="130"/>
      <c r="AD379" s="130"/>
      <c r="AE379" s="130"/>
      <c r="AF379" s="130"/>
      <c r="AG379" s="130"/>
      <c r="AH379" s="130"/>
      <c r="AI379" s="130"/>
      <c r="AJ379" s="130"/>
      <c r="AK379" s="130"/>
      <c r="AL379" s="130"/>
      <c r="AM379" s="130"/>
      <c r="AN379" s="130"/>
      <c r="AO379" s="130"/>
      <c r="AP379" s="130"/>
      <c r="AQ379" s="190"/>
      <c r="AR379" s="190"/>
      <c r="AS379" s="190"/>
      <c r="AT379" s="190"/>
      <c r="AU379" s="190"/>
      <c r="AV379" s="190"/>
      <c r="AW379" s="190"/>
      <c r="AX379" s="130"/>
      <c r="AY379" s="130"/>
      <c r="AZ379" s="130"/>
      <c r="BA379" s="130"/>
      <c r="BB379" s="130"/>
      <c r="BC379" s="130"/>
      <c r="BD379" s="130"/>
      <c r="BE379" s="130"/>
      <c r="BF379" s="130"/>
      <c r="BG379" s="130"/>
      <c r="BH379" s="130"/>
      <c r="BI379" s="130"/>
      <c r="BJ379" s="130"/>
      <c r="BK379" s="130"/>
      <c r="BL379" s="130"/>
      <c r="BM379" s="130"/>
      <c r="BN379" s="130"/>
      <c r="BO379" s="130"/>
    </row>
    <row r="380" spans="16:67" s="166" customFormat="1" x14ac:dyDescent="0.2">
      <c r="P380" s="191"/>
      <c r="Q380" s="128"/>
      <c r="R380" s="130"/>
      <c r="S380" s="165"/>
      <c r="T380" s="130"/>
      <c r="U380" s="130"/>
      <c r="V380" s="130"/>
      <c r="W380" s="130"/>
      <c r="X380" s="130"/>
      <c r="Y380" s="130"/>
      <c r="Z380" s="130"/>
      <c r="AA380" s="130"/>
      <c r="AB380" s="130"/>
      <c r="AC380" s="130"/>
      <c r="AD380" s="130"/>
      <c r="AE380" s="130"/>
      <c r="AF380" s="130"/>
      <c r="AG380" s="130"/>
      <c r="AH380" s="130"/>
      <c r="AI380" s="130"/>
      <c r="AJ380" s="130"/>
      <c r="AK380" s="130"/>
      <c r="AL380" s="130"/>
      <c r="AM380" s="130"/>
      <c r="AN380" s="130"/>
      <c r="AO380" s="130"/>
      <c r="AP380" s="130"/>
      <c r="AQ380" s="190"/>
      <c r="AR380" s="190"/>
      <c r="AS380" s="190"/>
      <c r="AT380" s="190"/>
      <c r="AU380" s="190"/>
      <c r="AV380" s="190"/>
      <c r="AW380" s="190"/>
      <c r="AX380" s="130"/>
      <c r="AY380" s="130"/>
      <c r="AZ380" s="130"/>
      <c r="BA380" s="130"/>
      <c r="BB380" s="130"/>
      <c r="BC380" s="130"/>
      <c r="BD380" s="130"/>
      <c r="BE380" s="130"/>
      <c r="BF380" s="130"/>
      <c r="BG380" s="130"/>
      <c r="BH380" s="130"/>
      <c r="BI380" s="130"/>
      <c r="BJ380" s="130"/>
      <c r="BK380" s="130"/>
      <c r="BL380" s="130"/>
      <c r="BM380" s="130"/>
      <c r="BN380" s="130"/>
      <c r="BO380" s="130"/>
    </row>
    <row r="381" spans="16:67" s="166" customFormat="1" x14ac:dyDescent="0.2">
      <c r="P381" s="191"/>
      <c r="Q381" s="128"/>
      <c r="R381" s="130"/>
      <c r="S381" s="165"/>
      <c r="T381" s="130"/>
      <c r="U381" s="130"/>
      <c r="V381" s="130"/>
      <c r="W381" s="130"/>
      <c r="X381" s="130"/>
      <c r="Y381" s="130"/>
      <c r="Z381" s="130"/>
      <c r="AA381" s="130"/>
      <c r="AB381" s="130"/>
      <c r="AC381" s="130"/>
      <c r="AD381" s="130"/>
      <c r="AE381" s="130"/>
      <c r="AF381" s="130"/>
      <c r="AG381" s="130"/>
      <c r="AH381" s="130"/>
      <c r="AI381" s="130"/>
      <c r="AJ381" s="130"/>
      <c r="AK381" s="130"/>
      <c r="AL381" s="130"/>
      <c r="AM381" s="130"/>
      <c r="AN381" s="130"/>
      <c r="AO381" s="130"/>
      <c r="AP381" s="130"/>
      <c r="AQ381" s="190"/>
      <c r="AR381" s="190"/>
      <c r="AS381" s="190"/>
      <c r="AT381" s="190"/>
      <c r="AU381" s="190"/>
      <c r="AV381" s="190"/>
      <c r="AW381" s="190"/>
      <c r="AX381" s="130"/>
      <c r="AY381" s="130"/>
      <c r="AZ381" s="130"/>
      <c r="BA381" s="130"/>
      <c r="BB381" s="130"/>
      <c r="BC381" s="130"/>
      <c r="BD381" s="130"/>
      <c r="BE381" s="130"/>
      <c r="BF381" s="130"/>
      <c r="BG381" s="130"/>
      <c r="BH381" s="130"/>
      <c r="BI381" s="130"/>
      <c r="BJ381" s="130"/>
      <c r="BK381" s="130"/>
      <c r="BL381" s="130"/>
      <c r="BM381" s="130"/>
      <c r="BN381" s="130"/>
      <c r="BO381" s="130"/>
    </row>
    <row r="382" spans="16:67" s="166" customFormat="1" x14ac:dyDescent="0.2">
      <c r="P382" s="191"/>
      <c r="Q382" s="128"/>
      <c r="R382" s="130"/>
      <c r="S382" s="165"/>
      <c r="T382" s="130"/>
      <c r="U382" s="130"/>
      <c r="V382" s="130"/>
      <c r="W382" s="130"/>
      <c r="X382" s="130"/>
      <c r="Y382" s="130"/>
      <c r="Z382" s="130"/>
      <c r="AA382" s="130"/>
      <c r="AB382" s="130"/>
      <c r="AC382" s="130"/>
      <c r="AD382" s="130"/>
      <c r="AE382" s="130"/>
      <c r="AF382" s="130"/>
      <c r="AG382" s="130"/>
      <c r="AH382" s="130"/>
      <c r="AI382" s="130"/>
      <c r="AJ382" s="130"/>
      <c r="AK382" s="130"/>
      <c r="AL382" s="130"/>
      <c r="AM382" s="130"/>
      <c r="AN382" s="130"/>
      <c r="AO382" s="130"/>
      <c r="AP382" s="130"/>
      <c r="AQ382" s="190"/>
      <c r="AR382" s="190"/>
      <c r="AS382" s="190"/>
      <c r="AT382" s="190"/>
      <c r="AU382" s="190"/>
      <c r="AV382" s="190"/>
      <c r="AW382" s="190"/>
      <c r="AX382" s="130"/>
      <c r="AY382" s="130"/>
      <c r="AZ382" s="130"/>
      <c r="BA382" s="130"/>
      <c r="BB382" s="130"/>
      <c r="BC382" s="130"/>
      <c r="BD382" s="130"/>
      <c r="BE382" s="130"/>
      <c r="BF382" s="130"/>
      <c r="BG382" s="130"/>
      <c r="BH382" s="130"/>
      <c r="BI382" s="130"/>
      <c r="BJ382" s="130"/>
      <c r="BK382" s="130"/>
      <c r="BL382" s="130"/>
      <c r="BM382" s="130"/>
      <c r="BN382" s="130"/>
      <c r="BO382" s="130"/>
    </row>
    <row r="383" spans="16:67" s="166" customFormat="1" x14ac:dyDescent="0.2">
      <c r="P383" s="191"/>
      <c r="Q383" s="128"/>
      <c r="R383" s="130"/>
      <c r="S383" s="165"/>
      <c r="T383" s="130"/>
      <c r="U383" s="130"/>
      <c r="V383" s="130"/>
      <c r="W383" s="130"/>
      <c r="X383" s="130"/>
      <c r="Y383" s="130"/>
      <c r="Z383" s="130"/>
      <c r="AA383" s="130"/>
      <c r="AB383" s="130"/>
      <c r="AC383" s="130"/>
      <c r="AD383" s="130"/>
      <c r="AE383" s="130"/>
      <c r="AF383" s="130"/>
      <c r="AG383" s="130"/>
      <c r="AH383" s="130"/>
      <c r="AI383" s="130"/>
      <c r="AJ383" s="130"/>
      <c r="AK383" s="130"/>
      <c r="AL383" s="130"/>
      <c r="AM383" s="130"/>
      <c r="AN383" s="130"/>
      <c r="AO383" s="130"/>
      <c r="AP383" s="130"/>
      <c r="AQ383" s="190"/>
      <c r="AR383" s="190"/>
      <c r="AS383" s="190"/>
      <c r="AT383" s="190"/>
      <c r="AU383" s="190"/>
      <c r="AV383" s="190"/>
      <c r="AW383" s="190"/>
      <c r="AX383" s="130"/>
      <c r="AY383" s="130"/>
      <c r="AZ383" s="130"/>
      <c r="BA383" s="130"/>
      <c r="BB383" s="130"/>
      <c r="BC383" s="130"/>
      <c r="BD383" s="130"/>
      <c r="BE383" s="130"/>
      <c r="BF383" s="130"/>
      <c r="BG383" s="130"/>
      <c r="BH383" s="130"/>
      <c r="BI383" s="130"/>
      <c r="BJ383" s="130"/>
      <c r="BK383" s="130"/>
      <c r="BL383" s="130"/>
      <c r="BM383" s="130"/>
      <c r="BN383" s="130"/>
      <c r="BO383" s="130"/>
    </row>
    <row r="384" spans="16:67" s="166" customFormat="1" x14ac:dyDescent="0.2">
      <c r="P384" s="191"/>
      <c r="Q384" s="128"/>
      <c r="R384" s="130"/>
      <c r="S384" s="165"/>
      <c r="T384" s="130"/>
      <c r="U384" s="130"/>
      <c r="V384" s="130"/>
      <c r="W384" s="130"/>
      <c r="X384" s="130"/>
      <c r="Y384" s="130"/>
      <c r="Z384" s="130"/>
      <c r="AA384" s="130"/>
      <c r="AB384" s="130"/>
      <c r="AC384" s="130"/>
      <c r="AD384" s="130"/>
      <c r="AE384" s="130"/>
      <c r="AF384" s="130"/>
      <c r="AG384" s="130"/>
      <c r="AH384" s="130"/>
      <c r="AI384" s="130"/>
      <c r="AJ384" s="130"/>
      <c r="AK384" s="130"/>
      <c r="AL384" s="130"/>
      <c r="AM384" s="130"/>
      <c r="AN384" s="130"/>
      <c r="AO384" s="130"/>
      <c r="AP384" s="130"/>
      <c r="AQ384" s="190"/>
      <c r="AR384" s="190"/>
      <c r="AS384" s="190"/>
      <c r="AT384" s="190"/>
      <c r="AU384" s="190"/>
      <c r="AV384" s="190"/>
      <c r="AW384" s="190"/>
      <c r="AX384" s="130"/>
      <c r="AY384" s="130"/>
      <c r="AZ384" s="130"/>
      <c r="BA384" s="130"/>
      <c r="BB384" s="130"/>
      <c r="BC384" s="130"/>
      <c r="BD384" s="130"/>
      <c r="BE384" s="130"/>
      <c r="BF384" s="130"/>
      <c r="BG384" s="130"/>
      <c r="BH384" s="130"/>
      <c r="BI384" s="130"/>
      <c r="BJ384" s="130"/>
      <c r="BK384" s="130"/>
      <c r="BL384" s="130"/>
      <c r="BM384" s="130"/>
      <c r="BN384" s="130"/>
      <c r="BO384" s="130"/>
    </row>
    <row r="385" spans="16:67" s="166" customFormat="1" x14ac:dyDescent="0.2">
      <c r="P385" s="191"/>
      <c r="Q385" s="128"/>
      <c r="R385" s="130"/>
      <c r="S385" s="165"/>
      <c r="T385" s="130"/>
      <c r="U385" s="130"/>
      <c r="V385" s="130"/>
      <c r="W385" s="130"/>
      <c r="X385" s="130"/>
      <c r="Y385" s="130"/>
      <c r="Z385" s="130"/>
      <c r="AA385" s="130"/>
      <c r="AB385" s="130"/>
      <c r="AC385" s="130"/>
      <c r="AD385" s="130"/>
      <c r="AE385" s="130"/>
      <c r="AF385" s="130"/>
      <c r="AG385" s="130"/>
      <c r="AH385" s="130"/>
      <c r="AI385" s="130"/>
      <c r="AJ385" s="130"/>
      <c r="AK385" s="130"/>
      <c r="AL385" s="130"/>
      <c r="AM385" s="130"/>
      <c r="AN385" s="130"/>
      <c r="AO385" s="130"/>
      <c r="AP385" s="130"/>
      <c r="AQ385" s="190"/>
      <c r="AR385" s="190"/>
      <c r="AS385" s="190"/>
      <c r="AT385" s="190"/>
      <c r="AU385" s="190"/>
      <c r="AV385" s="190"/>
      <c r="AW385" s="190"/>
      <c r="AX385" s="130"/>
      <c r="AY385" s="130"/>
      <c r="AZ385" s="130"/>
      <c r="BA385" s="130"/>
      <c r="BB385" s="130"/>
      <c r="BC385" s="130"/>
      <c r="BD385" s="130"/>
      <c r="BE385" s="130"/>
      <c r="BF385" s="130"/>
      <c r="BG385" s="130"/>
      <c r="BH385" s="130"/>
      <c r="BI385" s="130"/>
      <c r="BJ385" s="130"/>
      <c r="BK385" s="130"/>
      <c r="BL385" s="130"/>
      <c r="BM385" s="130"/>
      <c r="BN385" s="130"/>
      <c r="BO385" s="130"/>
    </row>
    <row r="386" spans="16:67" s="166" customFormat="1" x14ac:dyDescent="0.2">
      <c r="P386" s="191"/>
      <c r="Q386" s="128"/>
      <c r="R386" s="130"/>
      <c r="S386" s="165"/>
      <c r="T386" s="130"/>
      <c r="U386" s="130"/>
      <c r="V386" s="130"/>
      <c r="W386" s="130"/>
      <c r="X386" s="130"/>
      <c r="Y386" s="130"/>
      <c r="Z386" s="130"/>
      <c r="AA386" s="130"/>
      <c r="AB386" s="130"/>
      <c r="AC386" s="130"/>
      <c r="AD386" s="130"/>
      <c r="AE386" s="130"/>
      <c r="AF386" s="130"/>
      <c r="AG386" s="130"/>
      <c r="AH386" s="130"/>
      <c r="AI386" s="130"/>
      <c r="AJ386" s="130"/>
      <c r="AK386" s="130"/>
      <c r="AL386" s="130"/>
      <c r="AM386" s="130"/>
      <c r="AN386" s="130"/>
      <c r="AO386" s="130"/>
      <c r="AP386" s="130"/>
      <c r="AQ386" s="190"/>
      <c r="AR386" s="190"/>
      <c r="AS386" s="190"/>
      <c r="AT386" s="190"/>
      <c r="AU386" s="190"/>
      <c r="AV386" s="190"/>
      <c r="AW386" s="190"/>
      <c r="AX386" s="130"/>
      <c r="AY386" s="130"/>
      <c r="AZ386" s="130"/>
      <c r="BA386" s="130"/>
      <c r="BB386" s="130"/>
      <c r="BC386" s="130"/>
      <c r="BD386" s="130"/>
      <c r="BE386" s="130"/>
      <c r="BF386" s="130"/>
      <c r="BG386" s="130"/>
      <c r="BH386" s="130"/>
      <c r="BI386" s="130"/>
      <c r="BJ386" s="130"/>
      <c r="BK386" s="130"/>
      <c r="BL386" s="130"/>
      <c r="BM386" s="130"/>
      <c r="BN386" s="130"/>
      <c r="BO386" s="130"/>
    </row>
    <row r="387" spans="16:67" s="166" customFormat="1" x14ac:dyDescent="0.2">
      <c r="P387" s="191"/>
      <c r="Q387" s="128"/>
      <c r="R387" s="130"/>
      <c r="S387" s="165"/>
      <c r="T387" s="130"/>
      <c r="U387" s="130"/>
      <c r="V387" s="130"/>
      <c r="W387" s="130"/>
      <c r="X387" s="130"/>
      <c r="Y387" s="130"/>
      <c r="Z387" s="130"/>
      <c r="AA387" s="130"/>
      <c r="AB387" s="130"/>
      <c r="AC387" s="130"/>
      <c r="AD387" s="130"/>
      <c r="AE387" s="130"/>
      <c r="AF387" s="130"/>
      <c r="AG387" s="130"/>
      <c r="AH387" s="130"/>
      <c r="AI387" s="130"/>
      <c r="AJ387" s="130"/>
      <c r="AK387" s="130"/>
      <c r="AL387" s="130"/>
      <c r="AM387" s="130"/>
      <c r="AN387" s="130"/>
      <c r="AO387" s="130"/>
      <c r="AP387" s="130"/>
      <c r="AQ387" s="190"/>
      <c r="AR387" s="190"/>
      <c r="AS387" s="190"/>
      <c r="AT387" s="190"/>
      <c r="AU387" s="190"/>
      <c r="AV387" s="190"/>
      <c r="AW387" s="190"/>
      <c r="AX387" s="130"/>
      <c r="AY387" s="130"/>
      <c r="AZ387" s="130"/>
      <c r="BA387" s="130"/>
      <c r="BB387" s="130"/>
      <c r="BC387" s="130"/>
      <c r="BD387" s="130"/>
      <c r="BE387" s="130"/>
      <c r="BF387" s="130"/>
      <c r="BG387" s="130"/>
      <c r="BH387" s="130"/>
      <c r="BI387" s="130"/>
      <c r="BJ387" s="130"/>
      <c r="BK387" s="130"/>
      <c r="BL387" s="130"/>
      <c r="BM387" s="130"/>
      <c r="BN387" s="130"/>
      <c r="BO387" s="130"/>
    </row>
    <row r="388" spans="16:67" s="166" customFormat="1" x14ac:dyDescent="0.2">
      <c r="P388" s="191"/>
      <c r="Q388" s="128"/>
      <c r="R388" s="130"/>
      <c r="S388" s="165"/>
      <c r="T388" s="130"/>
      <c r="U388" s="130"/>
      <c r="V388" s="130"/>
      <c r="W388" s="130"/>
      <c r="X388" s="130"/>
      <c r="Y388" s="130"/>
      <c r="Z388" s="130"/>
      <c r="AA388" s="130"/>
      <c r="AB388" s="130"/>
      <c r="AC388" s="130"/>
      <c r="AD388" s="130"/>
      <c r="AE388" s="130"/>
      <c r="AF388" s="130"/>
      <c r="AG388" s="130"/>
      <c r="AH388" s="130"/>
      <c r="AI388" s="130"/>
      <c r="AJ388" s="130"/>
      <c r="AK388" s="130"/>
      <c r="AL388" s="130"/>
      <c r="AM388" s="130"/>
      <c r="AN388" s="130"/>
      <c r="AO388" s="130"/>
      <c r="AP388" s="130"/>
      <c r="AQ388" s="190"/>
      <c r="AR388" s="190"/>
      <c r="AS388" s="190"/>
      <c r="AT388" s="190"/>
      <c r="AU388" s="190"/>
      <c r="AV388" s="190"/>
      <c r="AW388" s="190"/>
      <c r="AX388" s="130"/>
      <c r="AY388" s="130"/>
      <c r="AZ388" s="130"/>
      <c r="BA388" s="130"/>
      <c r="BB388" s="130"/>
      <c r="BC388" s="130"/>
      <c r="BD388" s="130"/>
      <c r="BE388" s="130"/>
      <c r="BF388" s="130"/>
      <c r="BG388" s="130"/>
      <c r="BH388" s="130"/>
      <c r="BI388" s="130"/>
      <c r="BJ388" s="130"/>
      <c r="BK388" s="130"/>
      <c r="BL388" s="130"/>
      <c r="BM388" s="130"/>
      <c r="BN388" s="130"/>
      <c r="BO388" s="130"/>
    </row>
    <row r="389" spans="16:67" s="166" customFormat="1" x14ac:dyDescent="0.2">
      <c r="P389" s="191"/>
      <c r="Q389" s="128"/>
      <c r="R389" s="130"/>
      <c r="S389" s="165"/>
      <c r="T389" s="130"/>
      <c r="U389" s="130"/>
      <c r="V389" s="130"/>
      <c r="W389" s="130"/>
      <c r="X389" s="130"/>
      <c r="Y389" s="130"/>
      <c r="Z389" s="130"/>
      <c r="AA389" s="130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90"/>
      <c r="AR389" s="190"/>
      <c r="AS389" s="190"/>
      <c r="AT389" s="190"/>
      <c r="AU389" s="190"/>
      <c r="AV389" s="190"/>
      <c r="AW389" s="190"/>
      <c r="AX389" s="130"/>
      <c r="AY389" s="130"/>
      <c r="AZ389" s="130"/>
      <c r="BA389" s="130"/>
      <c r="BB389" s="130"/>
      <c r="BC389" s="130"/>
      <c r="BD389" s="130"/>
      <c r="BE389" s="130"/>
      <c r="BF389" s="130"/>
      <c r="BG389" s="130"/>
      <c r="BH389" s="130"/>
      <c r="BI389" s="130"/>
      <c r="BJ389" s="130"/>
      <c r="BK389" s="130"/>
      <c r="BL389" s="130"/>
      <c r="BM389" s="130"/>
      <c r="BN389" s="130"/>
      <c r="BO389" s="130"/>
    </row>
    <row r="390" spans="16:67" s="166" customFormat="1" x14ac:dyDescent="0.2">
      <c r="P390" s="191"/>
      <c r="Q390" s="128"/>
      <c r="R390" s="130"/>
      <c r="S390" s="165"/>
      <c r="T390" s="130"/>
      <c r="U390" s="130"/>
      <c r="V390" s="130"/>
      <c r="W390" s="130"/>
      <c r="X390" s="130"/>
      <c r="Y390" s="130"/>
      <c r="Z390" s="130"/>
      <c r="AA390" s="130"/>
      <c r="AB390" s="130"/>
      <c r="AC390" s="130"/>
      <c r="AD390" s="130"/>
      <c r="AE390" s="130"/>
      <c r="AF390" s="130"/>
      <c r="AG390" s="130"/>
      <c r="AH390" s="130"/>
      <c r="AI390" s="130"/>
      <c r="AJ390" s="130"/>
      <c r="AK390" s="130"/>
      <c r="AL390" s="130"/>
      <c r="AM390" s="130"/>
      <c r="AN390" s="130"/>
      <c r="AO390" s="130"/>
      <c r="AP390" s="130"/>
      <c r="AQ390" s="190"/>
      <c r="AR390" s="190"/>
      <c r="AS390" s="190"/>
      <c r="AT390" s="190"/>
      <c r="AU390" s="190"/>
      <c r="AV390" s="190"/>
      <c r="AW390" s="190"/>
      <c r="AX390" s="130"/>
      <c r="AY390" s="130"/>
      <c r="AZ390" s="130"/>
      <c r="BA390" s="130"/>
      <c r="BB390" s="130"/>
      <c r="BC390" s="130"/>
      <c r="BD390" s="130"/>
      <c r="BE390" s="130"/>
      <c r="BF390" s="130"/>
      <c r="BG390" s="130"/>
      <c r="BH390" s="130"/>
      <c r="BI390" s="130"/>
      <c r="BJ390" s="130"/>
      <c r="BK390" s="130"/>
      <c r="BL390" s="130"/>
      <c r="BM390" s="130"/>
      <c r="BN390" s="130"/>
      <c r="BO390" s="130"/>
    </row>
    <row r="391" spans="16:67" s="166" customFormat="1" x14ac:dyDescent="0.2">
      <c r="P391" s="191"/>
      <c r="Q391" s="128"/>
      <c r="R391" s="130"/>
      <c r="S391" s="165"/>
      <c r="T391" s="130"/>
      <c r="U391" s="130"/>
      <c r="V391" s="130"/>
      <c r="W391" s="130"/>
      <c r="X391" s="130"/>
      <c r="Y391" s="130"/>
      <c r="Z391" s="130"/>
      <c r="AA391" s="130"/>
      <c r="AB391" s="130"/>
      <c r="AC391" s="130"/>
      <c r="AD391" s="130"/>
      <c r="AE391" s="130"/>
      <c r="AF391" s="130"/>
      <c r="AG391" s="130"/>
      <c r="AH391" s="130"/>
      <c r="AI391" s="130"/>
      <c r="AJ391" s="130"/>
      <c r="AK391" s="130"/>
      <c r="AL391" s="130"/>
      <c r="AM391" s="130"/>
      <c r="AN391" s="130"/>
      <c r="AO391" s="130"/>
      <c r="AP391" s="130"/>
      <c r="AQ391" s="190"/>
      <c r="AR391" s="190"/>
      <c r="AS391" s="190"/>
      <c r="AT391" s="190"/>
      <c r="AU391" s="190"/>
      <c r="AV391" s="190"/>
      <c r="AW391" s="190"/>
      <c r="AX391" s="130"/>
      <c r="AY391" s="130"/>
      <c r="AZ391" s="130"/>
      <c r="BA391" s="130"/>
      <c r="BB391" s="130"/>
      <c r="BC391" s="130"/>
      <c r="BD391" s="130"/>
      <c r="BE391" s="130"/>
      <c r="BF391" s="130"/>
      <c r="BG391" s="130"/>
      <c r="BH391" s="130"/>
      <c r="BI391" s="130"/>
      <c r="BJ391" s="130"/>
      <c r="BK391" s="130"/>
      <c r="BL391" s="130"/>
      <c r="BM391" s="130"/>
      <c r="BN391" s="130"/>
      <c r="BO391" s="130"/>
    </row>
    <row r="392" spans="16:67" s="166" customFormat="1" x14ac:dyDescent="0.2">
      <c r="P392" s="191"/>
      <c r="Q392" s="128"/>
      <c r="R392" s="130"/>
      <c r="S392" s="165"/>
      <c r="T392" s="130"/>
      <c r="U392" s="130"/>
      <c r="V392" s="130"/>
      <c r="W392" s="130"/>
      <c r="X392" s="130"/>
      <c r="Y392" s="130"/>
      <c r="Z392" s="130"/>
      <c r="AA392" s="130"/>
      <c r="AB392" s="130"/>
      <c r="AC392" s="130"/>
      <c r="AD392" s="130"/>
      <c r="AE392" s="130"/>
      <c r="AF392" s="130"/>
      <c r="AG392" s="130"/>
      <c r="AH392" s="130"/>
      <c r="AI392" s="130"/>
      <c r="AJ392" s="130"/>
      <c r="AK392" s="130"/>
      <c r="AL392" s="130"/>
      <c r="AM392" s="130"/>
      <c r="AN392" s="130"/>
      <c r="AO392" s="130"/>
      <c r="AP392" s="130"/>
      <c r="AQ392" s="190"/>
      <c r="AR392" s="190"/>
      <c r="AS392" s="190"/>
      <c r="AT392" s="190"/>
      <c r="AU392" s="190"/>
      <c r="AV392" s="190"/>
      <c r="AW392" s="190"/>
      <c r="AX392" s="130"/>
      <c r="AY392" s="130"/>
      <c r="AZ392" s="130"/>
      <c r="BA392" s="130"/>
      <c r="BB392" s="130"/>
      <c r="BC392" s="130"/>
      <c r="BD392" s="130"/>
      <c r="BE392" s="130"/>
      <c r="BF392" s="130"/>
      <c r="BG392" s="130"/>
      <c r="BH392" s="130"/>
      <c r="BI392" s="130"/>
      <c r="BJ392" s="130"/>
      <c r="BK392" s="130"/>
      <c r="BL392" s="130"/>
      <c r="BM392" s="130"/>
      <c r="BN392" s="130"/>
      <c r="BO392" s="130"/>
    </row>
    <row r="393" spans="16:67" s="166" customFormat="1" x14ac:dyDescent="0.2">
      <c r="P393" s="191"/>
      <c r="Q393" s="128"/>
      <c r="R393" s="130"/>
      <c r="S393" s="165"/>
      <c r="T393" s="130"/>
      <c r="U393" s="130"/>
      <c r="V393" s="130"/>
      <c r="W393" s="130"/>
      <c r="X393" s="130"/>
      <c r="Y393" s="130"/>
      <c r="Z393" s="130"/>
      <c r="AA393" s="130"/>
      <c r="AB393" s="130"/>
      <c r="AC393" s="130"/>
      <c r="AD393" s="130"/>
      <c r="AE393" s="130"/>
      <c r="AF393" s="130"/>
      <c r="AG393" s="130"/>
      <c r="AH393" s="130"/>
      <c r="AI393" s="130"/>
      <c r="AJ393" s="130"/>
      <c r="AK393" s="130"/>
      <c r="AL393" s="130"/>
      <c r="AM393" s="130"/>
      <c r="AN393" s="130"/>
      <c r="AO393" s="130"/>
      <c r="AP393" s="130"/>
      <c r="AQ393" s="190"/>
      <c r="AR393" s="190"/>
      <c r="AS393" s="190"/>
      <c r="AT393" s="190"/>
      <c r="AU393" s="190"/>
      <c r="AV393" s="190"/>
      <c r="AW393" s="190"/>
      <c r="AX393" s="130"/>
      <c r="AY393" s="130"/>
      <c r="AZ393" s="130"/>
      <c r="BA393" s="130"/>
      <c r="BB393" s="130"/>
      <c r="BC393" s="130"/>
      <c r="BD393" s="130"/>
      <c r="BE393" s="130"/>
      <c r="BF393" s="130"/>
      <c r="BG393" s="130"/>
      <c r="BH393" s="130"/>
      <c r="BI393" s="130"/>
      <c r="BJ393" s="130"/>
      <c r="BK393" s="130"/>
      <c r="BL393" s="130"/>
      <c r="BM393" s="130"/>
      <c r="BN393" s="130"/>
      <c r="BO393" s="130"/>
    </row>
    <row r="394" spans="16:67" s="166" customFormat="1" x14ac:dyDescent="0.2">
      <c r="P394" s="191"/>
      <c r="Q394" s="128"/>
      <c r="R394" s="130"/>
      <c r="S394" s="165"/>
      <c r="T394" s="130"/>
      <c r="U394" s="130"/>
      <c r="V394" s="130"/>
      <c r="W394" s="130"/>
      <c r="X394" s="130"/>
      <c r="Y394" s="130"/>
      <c r="Z394" s="130"/>
      <c r="AA394" s="130"/>
      <c r="AB394" s="130"/>
      <c r="AC394" s="130"/>
      <c r="AD394" s="130"/>
      <c r="AE394" s="130"/>
      <c r="AF394" s="130"/>
      <c r="AG394" s="130"/>
      <c r="AH394" s="130"/>
      <c r="AI394" s="130"/>
      <c r="AJ394" s="130"/>
      <c r="AK394" s="130"/>
      <c r="AL394" s="130"/>
      <c r="AM394" s="130"/>
      <c r="AN394" s="130"/>
      <c r="AO394" s="130"/>
      <c r="AP394" s="130"/>
      <c r="AQ394" s="190"/>
      <c r="AR394" s="190"/>
      <c r="AS394" s="190"/>
      <c r="AT394" s="190"/>
      <c r="AU394" s="190"/>
      <c r="AV394" s="190"/>
      <c r="AW394" s="190"/>
      <c r="AX394" s="130"/>
      <c r="AY394" s="130"/>
      <c r="AZ394" s="130"/>
      <c r="BA394" s="130"/>
      <c r="BB394" s="130"/>
      <c r="BC394" s="130"/>
      <c r="BD394" s="130"/>
      <c r="BE394" s="130"/>
      <c r="BF394" s="130"/>
      <c r="BG394" s="130"/>
      <c r="BH394" s="130"/>
      <c r="BI394" s="130"/>
      <c r="BJ394" s="130"/>
      <c r="BK394" s="130"/>
      <c r="BL394" s="130"/>
      <c r="BM394" s="130"/>
      <c r="BN394" s="130"/>
      <c r="BO394" s="130"/>
    </row>
    <row r="395" spans="16:67" s="166" customFormat="1" x14ac:dyDescent="0.2">
      <c r="P395" s="191"/>
      <c r="Q395" s="128"/>
      <c r="R395" s="130"/>
      <c r="S395" s="165"/>
      <c r="T395" s="130"/>
      <c r="U395" s="130"/>
      <c r="V395" s="130"/>
      <c r="W395" s="130"/>
      <c r="X395" s="130"/>
      <c r="Y395" s="130"/>
      <c r="Z395" s="130"/>
      <c r="AA395" s="130"/>
      <c r="AB395" s="130"/>
      <c r="AC395" s="130"/>
      <c r="AD395" s="130"/>
      <c r="AE395" s="130"/>
      <c r="AF395" s="130"/>
      <c r="AG395" s="130"/>
      <c r="AH395" s="130"/>
      <c r="AI395" s="130"/>
      <c r="AJ395" s="130"/>
      <c r="AK395" s="130"/>
      <c r="AL395" s="130"/>
      <c r="AM395" s="130"/>
      <c r="AN395" s="130"/>
      <c r="AO395" s="130"/>
      <c r="AP395" s="130"/>
      <c r="AQ395" s="190"/>
      <c r="AR395" s="190"/>
      <c r="AS395" s="190"/>
      <c r="AT395" s="190"/>
      <c r="AU395" s="190"/>
      <c r="AV395" s="190"/>
      <c r="AW395" s="190"/>
      <c r="AX395" s="130"/>
      <c r="AY395" s="130"/>
      <c r="AZ395" s="130"/>
      <c r="BA395" s="130"/>
      <c r="BB395" s="130"/>
      <c r="BC395" s="130"/>
      <c r="BD395" s="130"/>
      <c r="BE395" s="130"/>
      <c r="BF395" s="130"/>
      <c r="BG395" s="130"/>
      <c r="BH395" s="130"/>
      <c r="BI395" s="130"/>
      <c r="BJ395" s="130"/>
      <c r="BK395" s="130"/>
      <c r="BL395" s="130"/>
      <c r="BM395" s="130"/>
      <c r="BN395" s="130"/>
      <c r="BO395" s="130"/>
    </row>
    <row r="396" spans="16:67" s="166" customFormat="1" x14ac:dyDescent="0.2">
      <c r="P396" s="191"/>
      <c r="Q396" s="128"/>
      <c r="R396" s="130"/>
      <c r="S396" s="165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30"/>
      <c r="AF396" s="130"/>
      <c r="AG396" s="130"/>
      <c r="AH396" s="130"/>
      <c r="AI396" s="130"/>
      <c r="AJ396" s="130"/>
      <c r="AK396" s="130"/>
      <c r="AL396" s="130"/>
      <c r="AM396" s="130"/>
      <c r="AN396" s="130"/>
      <c r="AO396" s="130"/>
      <c r="AP396" s="130"/>
      <c r="AQ396" s="190"/>
      <c r="AR396" s="190"/>
      <c r="AS396" s="190"/>
      <c r="AT396" s="190"/>
      <c r="AU396" s="190"/>
      <c r="AV396" s="190"/>
      <c r="AW396" s="190"/>
      <c r="AX396" s="130"/>
      <c r="AY396" s="130"/>
      <c r="AZ396" s="130"/>
      <c r="BA396" s="130"/>
      <c r="BB396" s="130"/>
      <c r="BC396" s="130"/>
      <c r="BD396" s="130"/>
      <c r="BE396" s="130"/>
      <c r="BF396" s="130"/>
      <c r="BG396" s="130"/>
      <c r="BH396" s="130"/>
      <c r="BI396" s="130"/>
      <c r="BJ396" s="130"/>
      <c r="BK396" s="130"/>
      <c r="BL396" s="130"/>
      <c r="BM396" s="130"/>
      <c r="BN396" s="130"/>
      <c r="BO396" s="130"/>
    </row>
    <row r="397" spans="16:67" s="166" customFormat="1" x14ac:dyDescent="0.2">
      <c r="P397" s="191"/>
      <c r="Q397" s="128"/>
      <c r="R397" s="130"/>
      <c r="S397" s="165"/>
      <c r="T397" s="130"/>
      <c r="U397" s="130"/>
      <c r="V397" s="130"/>
      <c r="W397" s="130"/>
      <c r="X397" s="130"/>
      <c r="Y397" s="130"/>
      <c r="Z397" s="130"/>
      <c r="AA397" s="130"/>
      <c r="AB397" s="130"/>
      <c r="AC397" s="130"/>
      <c r="AD397" s="130"/>
      <c r="AE397" s="130"/>
      <c r="AF397" s="130"/>
      <c r="AG397" s="130"/>
      <c r="AH397" s="130"/>
      <c r="AI397" s="130"/>
      <c r="AJ397" s="130"/>
      <c r="AK397" s="130"/>
      <c r="AL397" s="130"/>
      <c r="AM397" s="130"/>
      <c r="AN397" s="130"/>
      <c r="AO397" s="130"/>
      <c r="AP397" s="130"/>
      <c r="AQ397" s="190"/>
      <c r="AR397" s="190"/>
      <c r="AS397" s="190"/>
      <c r="AT397" s="190"/>
      <c r="AU397" s="190"/>
      <c r="AV397" s="190"/>
      <c r="AW397" s="190"/>
      <c r="AX397" s="130"/>
      <c r="AY397" s="130"/>
      <c r="AZ397" s="130"/>
      <c r="BA397" s="130"/>
      <c r="BB397" s="130"/>
      <c r="BC397" s="130"/>
      <c r="BD397" s="130"/>
      <c r="BE397" s="130"/>
      <c r="BF397" s="130"/>
      <c r="BG397" s="130"/>
      <c r="BH397" s="130"/>
      <c r="BI397" s="130"/>
      <c r="BJ397" s="130"/>
      <c r="BK397" s="130"/>
      <c r="BL397" s="130"/>
      <c r="BM397" s="130"/>
      <c r="BN397" s="130"/>
      <c r="BO397" s="130"/>
    </row>
    <row r="398" spans="16:67" s="166" customFormat="1" x14ac:dyDescent="0.2">
      <c r="P398" s="191"/>
      <c r="Q398" s="128"/>
      <c r="R398" s="130"/>
      <c r="S398" s="165"/>
      <c r="T398" s="130"/>
      <c r="U398" s="130"/>
      <c r="V398" s="130"/>
      <c r="W398" s="130"/>
      <c r="X398" s="130"/>
      <c r="Y398" s="130"/>
      <c r="Z398" s="130"/>
      <c r="AA398" s="130"/>
      <c r="AB398" s="130"/>
      <c r="AC398" s="130"/>
      <c r="AD398" s="130"/>
      <c r="AE398" s="130"/>
      <c r="AF398" s="130"/>
      <c r="AG398" s="130"/>
      <c r="AH398" s="130"/>
      <c r="AI398" s="130"/>
      <c r="AJ398" s="130"/>
      <c r="AK398" s="130"/>
      <c r="AL398" s="130"/>
      <c r="AM398" s="130"/>
      <c r="AN398" s="130"/>
      <c r="AO398" s="130"/>
      <c r="AP398" s="130"/>
      <c r="AQ398" s="190"/>
      <c r="AR398" s="190"/>
      <c r="AS398" s="190"/>
      <c r="AT398" s="190"/>
      <c r="AU398" s="190"/>
      <c r="AV398" s="190"/>
      <c r="AW398" s="190"/>
      <c r="AX398" s="130"/>
      <c r="AY398" s="130"/>
      <c r="AZ398" s="130"/>
      <c r="BA398" s="130"/>
      <c r="BB398" s="130"/>
      <c r="BC398" s="130"/>
      <c r="BD398" s="130"/>
      <c r="BE398" s="130"/>
      <c r="BF398" s="130"/>
      <c r="BG398" s="130"/>
      <c r="BH398" s="130"/>
      <c r="BI398" s="130"/>
      <c r="BJ398" s="130"/>
      <c r="BK398" s="130"/>
      <c r="BL398" s="130"/>
      <c r="BM398" s="130"/>
      <c r="BN398" s="130"/>
      <c r="BO398" s="130"/>
    </row>
    <row r="399" spans="16:67" s="166" customFormat="1" x14ac:dyDescent="0.2">
      <c r="P399" s="191"/>
      <c r="Q399" s="128"/>
      <c r="R399" s="130"/>
      <c r="S399" s="165"/>
      <c r="T399" s="130"/>
      <c r="U399" s="130"/>
      <c r="V399" s="130"/>
      <c r="W399" s="130"/>
      <c r="X399" s="130"/>
      <c r="Y399" s="130"/>
      <c r="Z399" s="130"/>
      <c r="AA399" s="130"/>
      <c r="AB399" s="130"/>
      <c r="AC399" s="130"/>
      <c r="AD399" s="130"/>
      <c r="AE399" s="130"/>
      <c r="AF399" s="130"/>
      <c r="AG399" s="130"/>
      <c r="AH399" s="130"/>
      <c r="AI399" s="130"/>
      <c r="AJ399" s="130"/>
      <c r="AK399" s="130"/>
      <c r="AL399" s="130"/>
      <c r="AM399" s="130"/>
      <c r="AN399" s="130"/>
      <c r="AO399" s="130"/>
      <c r="AP399" s="130"/>
      <c r="AQ399" s="190"/>
      <c r="AR399" s="190"/>
      <c r="AS399" s="190"/>
      <c r="AT399" s="190"/>
      <c r="AU399" s="190"/>
      <c r="AV399" s="190"/>
      <c r="AW399" s="190"/>
      <c r="AX399" s="130"/>
      <c r="AY399" s="130"/>
      <c r="AZ399" s="130"/>
      <c r="BA399" s="130"/>
      <c r="BB399" s="130"/>
      <c r="BC399" s="130"/>
      <c r="BD399" s="130"/>
      <c r="BE399" s="130"/>
      <c r="BF399" s="130"/>
      <c r="BG399" s="130"/>
      <c r="BH399" s="130"/>
      <c r="BI399" s="130"/>
      <c r="BJ399" s="130"/>
      <c r="BK399" s="130"/>
      <c r="BL399" s="130"/>
      <c r="BM399" s="130"/>
      <c r="BN399" s="130"/>
      <c r="BO399" s="130"/>
    </row>
    <row r="400" spans="16:67" s="166" customFormat="1" x14ac:dyDescent="0.2">
      <c r="P400" s="191"/>
      <c r="Q400" s="128"/>
      <c r="R400" s="130"/>
      <c r="S400" s="165"/>
      <c r="T400" s="130"/>
      <c r="U400" s="130"/>
      <c r="V400" s="130"/>
      <c r="W400" s="130"/>
      <c r="X400" s="130"/>
      <c r="Y400" s="130"/>
      <c r="Z400" s="130"/>
      <c r="AA400" s="130"/>
      <c r="AB400" s="130"/>
      <c r="AC400" s="130"/>
      <c r="AD400" s="130"/>
      <c r="AE400" s="130"/>
      <c r="AF400" s="130"/>
      <c r="AG400" s="130"/>
      <c r="AH400" s="130"/>
      <c r="AI400" s="130"/>
      <c r="AJ400" s="130"/>
      <c r="AK400" s="130"/>
      <c r="AL400" s="130"/>
      <c r="AM400" s="130"/>
      <c r="AN400" s="130"/>
      <c r="AO400" s="130"/>
      <c r="AP400" s="130"/>
      <c r="AQ400" s="190"/>
      <c r="AR400" s="190"/>
      <c r="AS400" s="190"/>
      <c r="AT400" s="190"/>
      <c r="AU400" s="190"/>
      <c r="AV400" s="190"/>
      <c r="AW400" s="190"/>
      <c r="AX400" s="130"/>
      <c r="AY400" s="130"/>
      <c r="AZ400" s="130"/>
      <c r="BA400" s="130"/>
      <c r="BB400" s="130"/>
      <c r="BC400" s="130"/>
      <c r="BD400" s="130"/>
      <c r="BE400" s="130"/>
      <c r="BF400" s="130"/>
      <c r="BG400" s="130"/>
      <c r="BH400" s="130"/>
      <c r="BI400" s="130"/>
      <c r="BJ400" s="130"/>
      <c r="BK400" s="130"/>
      <c r="BL400" s="130"/>
      <c r="BM400" s="130"/>
      <c r="BN400" s="130"/>
      <c r="BO400" s="130"/>
    </row>
    <row r="401" spans="16:67" s="166" customFormat="1" x14ac:dyDescent="0.2">
      <c r="P401" s="191"/>
      <c r="Q401" s="128"/>
      <c r="R401" s="130"/>
      <c r="S401" s="165"/>
      <c r="T401" s="130"/>
      <c r="U401" s="130"/>
      <c r="V401" s="130"/>
      <c r="W401" s="130"/>
      <c r="X401" s="130"/>
      <c r="Y401" s="130"/>
      <c r="Z401" s="130"/>
      <c r="AA401" s="130"/>
      <c r="AB401" s="130"/>
      <c r="AC401" s="130"/>
      <c r="AD401" s="130"/>
      <c r="AE401" s="130"/>
      <c r="AF401" s="130"/>
      <c r="AG401" s="130"/>
      <c r="AH401" s="130"/>
      <c r="AI401" s="130"/>
      <c r="AJ401" s="130"/>
      <c r="AK401" s="130"/>
      <c r="AL401" s="130"/>
      <c r="AM401" s="130"/>
      <c r="AN401" s="130"/>
      <c r="AO401" s="130"/>
      <c r="AP401" s="130"/>
      <c r="AQ401" s="190"/>
      <c r="AR401" s="190"/>
      <c r="AS401" s="190"/>
      <c r="AT401" s="190"/>
      <c r="AU401" s="190"/>
      <c r="AV401" s="190"/>
      <c r="AW401" s="190"/>
      <c r="AX401" s="130"/>
      <c r="AY401" s="130"/>
      <c r="AZ401" s="130"/>
      <c r="BA401" s="130"/>
      <c r="BB401" s="130"/>
      <c r="BC401" s="130"/>
      <c r="BD401" s="130"/>
      <c r="BE401" s="130"/>
      <c r="BF401" s="130"/>
      <c r="BG401" s="130"/>
      <c r="BH401" s="130"/>
      <c r="BI401" s="130"/>
      <c r="BJ401" s="130"/>
      <c r="BK401" s="130"/>
      <c r="BL401" s="130"/>
      <c r="BM401" s="130"/>
      <c r="BN401" s="130"/>
      <c r="BO401" s="130"/>
    </row>
    <row r="402" spans="16:67" s="166" customFormat="1" x14ac:dyDescent="0.2">
      <c r="P402" s="191"/>
      <c r="Q402" s="128"/>
      <c r="R402" s="130"/>
      <c r="S402" s="165"/>
      <c r="T402" s="130"/>
      <c r="U402" s="130"/>
      <c r="V402" s="130"/>
      <c r="W402" s="130"/>
      <c r="X402" s="130"/>
      <c r="Y402" s="130"/>
      <c r="Z402" s="130"/>
      <c r="AA402" s="130"/>
      <c r="AB402" s="130"/>
      <c r="AC402" s="130"/>
      <c r="AD402" s="130"/>
      <c r="AE402" s="130"/>
      <c r="AF402" s="130"/>
      <c r="AG402" s="130"/>
      <c r="AH402" s="130"/>
      <c r="AI402" s="130"/>
      <c r="AJ402" s="130"/>
      <c r="AK402" s="130"/>
      <c r="AL402" s="130"/>
      <c r="AM402" s="130"/>
      <c r="AN402" s="130"/>
      <c r="AO402" s="130"/>
      <c r="AP402" s="130"/>
      <c r="AQ402" s="190"/>
      <c r="AR402" s="190"/>
      <c r="AS402" s="190"/>
      <c r="AT402" s="190"/>
      <c r="AU402" s="190"/>
      <c r="AV402" s="190"/>
      <c r="AW402" s="190"/>
      <c r="AX402" s="130"/>
      <c r="AY402" s="130"/>
      <c r="AZ402" s="130"/>
      <c r="BA402" s="130"/>
      <c r="BB402" s="130"/>
      <c r="BC402" s="130"/>
      <c r="BD402" s="130"/>
      <c r="BE402" s="130"/>
      <c r="BF402" s="130"/>
      <c r="BG402" s="130"/>
      <c r="BH402" s="130"/>
      <c r="BI402" s="130"/>
      <c r="BJ402" s="130"/>
      <c r="BK402" s="130"/>
      <c r="BL402" s="130"/>
      <c r="BM402" s="130"/>
      <c r="BN402" s="130"/>
      <c r="BO402" s="130"/>
    </row>
    <row r="403" spans="16:67" s="166" customFormat="1" x14ac:dyDescent="0.2">
      <c r="P403" s="191"/>
      <c r="Q403" s="128"/>
      <c r="R403" s="130"/>
      <c r="S403" s="165"/>
      <c r="T403" s="130"/>
      <c r="U403" s="130"/>
      <c r="V403" s="130"/>
      <c r="W403" s="130"/>
      <c r="X403" s="130"/>
      <c r="Y403" s="130"/>
      <c r="Z403" s="130"/>
      <c r="AA403" s="130"/>
      <c r="AB403" s="130"/>
      <c r="AC403" s="130"/>
      <c r="AD403" s="130"/>
      <c r="AE403" s="130"/>
      <c r="AF403" s="130"/>
      <c r="AG403" s="130"/>
      <c r="AH403" s="130"/>
      <c r="AI403" s="130"/>
      <c r="AJ403" s="130"/>
      <c r="AK403" s="130"/>
      <c r="AL403" s="130"/>
      <c r="AM403" s="130"/>
      <c r="AN403" s="130"/>
      <c r="AO403" s="130"/>
      <c r="AP403" s="130"/>
      <c r="AQ403" s="190"/>
      <c r="AR403" s="190"/>
      <c r="AS403" s="190"/>
      <c r="AT403" s="190"/>
      <c r="AU403" s="190"/>
      <c r="AV403" s="190"/>
      <c r="AW403" s="190"/>
      <c r="AX403" s="130"/>
      <c r="AY403" s="130"/>
      <c r="AZ403" s="130"/>
      <c r="BA403" s="130"/>
      <c r="BB403" s="130"/>
      <c r="BC403" s="130"/>
      <c r="BD403" s="130"/>
      <c r="BE403" s="130"/>
      <c r="BF403" s="130"/>
      <c r="BG403" s="130"/>
      <c r="BH403" s="130"/>
      <c r="BI403" s="130"/>
      <c r="BJ403" s="130"/>
      <c r="BK403" s="130"/>
      <c r="BL403" s="130"/>
      <c r="BM403" s="130"/>
      <c r="BN403" s="130"/>
      <c r="BO403" s="130"/>
    </row>
    <row r="404" spans="16:67" s="166" customFormat="1" x14ac:dyDescent="0.2">
      <c r="P404" s="191"/>
      <c r="Q404" s="128"/>
      <c r="R404" s="130"/>
      <c r="S404" s="165"/>
      <c r="T404" s="130"/>
      <c r="U404" s="130"/>
      <c r="V404" s="130"/>
      <c r="W404" s="130"/>
      <c r="X404" s="130"/>
      <c r="Y404" s="130"/>
      <c r="Z404" s="130"/>
      <c r="AA404" s="130"/>
      <c r="AB404" s="130"/>
      <c r="AC404" s="130"/>
      <c r="AD404" s="130"/>
      <c r="AE404" s="130"/>
      <c r="AF404" s="130"/>
      <c r="AG404" s="130"/>
      <c r="AH404" s="130"/>
      <c r="AI404" s="130"/>
      <c r="AJ404" s="130"/>
      <c r="AK404" s="130"/>
      <c r="AL404" s="130"/>
      <c r="AM404" s="130"/>
      <c r="AN404" s="130"/>
      <c r="AO404" s="130"/>
      <c r="AP404" s="130"/>
      <c r="AQ404" s="190"/>
      <c r="AR404" s="190"/>
      <c r="AS404" s="190"/>
      <c r="AT404" s="190"/>
      <c r="AU404" s="190"/>
      <c r="AV404" s="190"/>
      <c r="AW404" s="190"/>
      <c r="AX404" s="130"/>
      <c r="AY404" s="130"/>
      <c r="AZ404" s="130"/>
      <c r="BA404" s="130"/>
      <c r="BB404" s="130"/>
      <c r="BC404" s="130"/>
      <c r="BD404" s="130"/>
      <c r="BE404" s="130"/>
      <c r="BF404" s="130"/>
      <c r="BG404" s="130"/>
      <c r="BH404" s="130"/>
      <c r="BI404" s="130"/>
      <c r="BJ404" s="130"/>
      <c r="BK404" s="130"/>
      <c r="BL404" s="130"/>
      <c r="BM404" s="130"/>
      <c r="BN404" s="130"/>
      <c r="BO404" s="130"/>
    </row>
    <row r="405" spans="16:67" s="166" customFormat="1" x14ac:dyDescent="0.2">
      <c r="P405" s="191"/>
      <c r="Q405" s="128"/>
      <c r="R405" s="130"/>
      <c r="S405" s="165"/>
      <c r="T405" s="130"/>
      <c r="U405" s="130"/>
      <c r="V405" s="130"/>
      <c r="W405" s="130"/>
      <c r="X405" s="130"/>
      <c r="Y405" s="130"/>
      <c r="Z405" s="130"/>
      <c r="AA405" s="130"/>
      <c r="AB405" s="130"/>
      <c r="AC405" s="130"/>
      <c r="AD405" s="130"/>
      <c r="AE405" s="130"/>
      <c r="AF405" s="130"/>
      <c r="AG405" s="130"/>
      <c r="AH405" s="130"/>
      <c r="AI405" s="130"/>
      <c r="AJ405" s="130"/>
      <c r="AK405" s="130"/>
      <c r="AL405" s="130"/>
      <c r="AM405" s="130"/>
      <c r="AN405" s="130"/>
      <c r="AO405" s="130"/>
      <c r="AP405" s="130"/>
      <c r="AQ405" s="190"/>
      <c r="AR405" s="190"/>
      <c r="AS405" s="190"/>
      <c r="AT405" s="190"/>
      <c r="AU405" s="190"/>
      <c r="AV405" s="190"/>
      <c r="AW405" s="190"/>
      <c r="AX405" s="130"/>
      <c r="AY405" s="130"/>
      <c r="AZ405" s="130"/>
      <c r="BA405" s="130"/>
      <c r="BB405" s="130"/>
      <c r="BC405" s="130"/>
      <c r="BD405" s="130"/>
      <c r="BE405" s="130"/>
      <c r="BF405" s="130"/>
      <c r="BG405" s="130"/>
      <c r="BH405" s="130"/>
      <c r="BI405" s="130"/>
      <c r="BJ405" s="130"/>
      <c r="BK405" s="130"/>
      <c r="BL405" s="130"/>
      <c r="BM405" s="130"/>
      <c r="BN405" s="130"/>
      <c r="BO405" s="130"/>
    </row>
    <row r="406" spans="16:67" s="166" customFormat="1" x14ac:dyDescent="0.2">
      <c r="P406" s="191"/>
      <c r="Q406" s="128"/>
      <c r="R406" s="130"/>
      <c r="S406" s="165"/>
      <c r="T406" s="130"/>
      <c r="U406" s="130"/>
      <c r="V406" s="130"/>
      <c r="W406" s="130"/>
      <c r="X406" s="130"/>
      <c r="Y406" s="130"/>
      <c r="Z406" s="130"/>
      <c r="AA406" s="130"/>
      <c r="AB406" s="130"/>
      <c r="AC406" s="130"/>
      <c r="AD406" s="130"/>
      <c r="AE406" s="130"/>
      <c r="AF406" s="130"/>
      <c r="AG406" s="130"/>
      <c r="AH406" s="130"/>
      <c r="AI406" s="130"/>
      <c r="AJ406" s="130"/>
      <c r="AK406" s="130"/>
      <c r="AL406" s="130"/>
      <c r="AM406" s="130"/>
      <c r="AN406" s="130"/>
      <c r="AO406" s="130"/>
      <c r="AP406" s="130"/>
      <c r="AQ406" s="190"/>
      <c r="AR406" s="190"/>
      <c r="AS406" s="190"/>
      <c r="AT406" s="190"/>
      <c r="AU406" s="190"/>
      <c r="AV406" s="190"/>
      <c r="AW406" s="190"/>
      <c r="AX406" s="130"/>
      <c r="AY406" s="130"/>
      <c r="AZ406" s="130"/>
      <c r="BA406" s="130"/>
      <c r="BB406" s="130"/>
      <c r="BC406" s="130"/>
      <c r="BD406" s="130"/>
      <c r="BE406" s="130"/>
      <c r="BF406" s="130"/>
      <c r="BG406" s="130"/>
      <c r="BH406" s="130"/>
      <c r="BI406" s="130"/>
      <c r="BJ406" s="130"/>
      <c r="BK406" s="130"/>
      <c r="BL406" s="130"/>
      <c r="BM406" s="130"/>
      <c r="BN406" s="130"/>
      <c r="BO406" s="130"/>
    </row>
    <row r="407" spans="16:67" s="166" customFormat="1" x14ac:dyDescent="0.2">
      <c r="P407" s="191"/>
      <c r="Q407" s="128"/>
      <c r="R407" s="130"/>
      <c r="S407" s="165"/>
      <c r="T407" s="130"/>
      <c r="U407" s="130"/>
      <c r="V407" s="130"/>
      <c r="W407" s="130"/>
      <c r="X407" s="130"/>
      <c r="Y407" s="130"/>
      <c r="Z407" s="130"/>
      <c r="AA407" s="130"/>
      <c r="AB407" s="130"/>
      <c r="AC407" s="130"/>
      <c r="AD407" s="130"/>
      <c r="AE407" s="130"/>
      <c r="AF407" s="130"/>
      <c r="AG407" s="130"/>
      <c r="AH407" s="130"/>
      <c r="AI407" s="130"/>
      <c r="AJ407" s="130"/>
      <c r="AK407" s="130"/>
      <c r="AL407" s="130"/>
      <c r="AM407" s="130"/>
      <c r="AN407" s="130"/>
      <c r="AO407" s="130"/>
      <c r="AP407" s="130"/>
      <c r="AQ407" s="190"/>
      <c r="AR407" s="190"/>
      <c r="AS407" s="190"/>
      <c r="AT407" s="190"/>
      <c r="AU407" s="190"/>
      <c r="AV407" s="190"/>
      <c r="AW407" s="190"/>
      <c r="AX407" s="130"/>
      <c r="AY407" s="130"/>
      <c r="AZ407" s="130"/>
      <c r="BA407" s="130"/>
      <c r="BB407" s="130"/>
      <c r="BC407" s="130"/>
      <c r="BD407" s="130"/>
      <c r="BE407" s="130"/>
      <c r="BF407" s="130"/>
      <c r="BG407" s="130"/>
      <c r="BH407" s="130"/>
      <c r="BI407" s="130"/>
      <c r="BJ407" s="130"/>
      <c r="BK407" s="130"/>
      <c r="BL407" s="130"/>
      <c r="BM407" s="130"/>
      <c r="BN407" s="130"/>
      <c r="BO407" s="130"/>
    </row>
    <row r="408" spans="16:67" s="166" customFormat="1" x14ac:dyDescent="0.2">
      <c r="P408" s="191"/>
      <c r="Q408" s="128"/>
      <c r="R408" s="130"/>
      <c r="S408" s="165"/>
      <c r="T408" s="130"/>
      <c r="U408" s="130"/>
      <c r="V408" s="130"/>
      <c r="W408" s="130"/>
      <c r="X408" s="130"/>
      <c r="Y408" s="130"/>
      <c r="Z408" s="130"/>
      <c r="AA408" s="130"/>
      <c r="AB408" s="130"/>
      <c r="AC408" s="130"/>
      <c r="AD408" s="130"/>
      <c r="AE408" s="130"/>
      <c r="AF408" s="130"/>
      <c r="AG408" s="130"/>
      <c r="AH408" s="130"/>
      <c r="AI408" s="130"/>
      <c r="AJ408" s="130"/>
      <c r="AK408" s="130"/>
      <c r="AL408" s="130"/>
      <c r="AM408" s="130"/>
      <c r="AN408" s="130"/>
      <c r="AO408" s="130"/>
      <c r="AP408" s="130"/>
      <c r="AQ408" s="190"/>
      <c r="AR408" s="190"/>
      <c r="AS408" s="190"/>
      <c r="AT408" s="190"/>
      <c r="AU408" s="190"/>
      <c r="AV408" s="190"/>
      <c r="AW408" s="190"/>
      <c r="AX408" s="130"/>
      <c r="AY408" s="130"/>
      <c r="AZ408" s="130"/>
      <c r="BA408" s="130"/>
      <c r="BB408" s="130"/>
      <c r="BC408" s="130"/>
      <c r="BD408" s="130"/>
      <c r="BE408" s="130"/>
      <c r="BF408" s="130"/>
      <c r="BG408" s="130"/>
      <c r="BH408" s="130"/>
      <c r="BI408" s="130"/>
      <c r="BJ408" s="130"/>
      <c r="BK408" s="130"/>
      <c r="BL408" s="130"/>
      <c r="BM408" s="130"/>
      <c r="BN408" s="130"/>
      <c r="BO408" s="130"/>
    </row>
    <row r="409" spans="16:67" s="166" customFormat="1" x14ac:dyDescent="0.2">
      <c r="P409" s="191"/>
      <c r="Q409" s="128"/>
      <c r="R409" s="130"/>
      <c r="S409" s="165"/>
      <c r="T409" s="130"/>
      <c r="U409" s="130"/>
      <c r="V409" s="130"/>
      <c r="W409" s="130"/>
      <c r="X409" s="130"/>
      <c r="Y409" s="130"/>
      <c r="Z409" s="130"/>
      <c r="AA409" s="130"/>
      <c r="AB409" s="130"/>
      <c r="AC409" s="130"/>
      <c r="AD409" s="130"/>
      <c r="AE409" s="130"/>
      <c r="AF409" s="130"/>
      <c r="AG409" s="130"/>
      <c r="AH409" s="130"/>
      <c r="AI409" s="130"/>
      <c r="AJ409" s="130"/>
      <c r="AK409" s="130"/>
      <c r="AL409" s="130"/>
      <c r="AM409" s="130"/>
      <c r="AN409" s="130"/>
      <c r="AO409" s="130"/>
      <c r="AP409" s="130"/>
      <c r="AQ409" s="190"/>
      <c r="AR409" s="190"/>
      <c r="AS409" s="190"/>
      <c r="AT409" s="190"/>
      <c r="AU409" s="190"/>
      <c r="AV409" s="190"/>
      <c r="AW409" s="190"/>
      <c r="AX409" s="130"/>
      <c r="AY409" s="130"/>
      <c r="AZ409" s="130"/>
      <c r="BA409" s="130"/>
      <c r="BB409" s="130"/>
      <c r="BC409" s="130"/>
      <c r="BD409" s="130"/>
      <c r="BE409" s="130"/>
      <c r="BF409" s="130"/>
      <c r="BG409" s="130"/>
      <c r="BH409" s="130"/>
      <c r="BI409" s="130"/>
      <c r="BJ409" s="130"/>
      <c r="BK409" s="130"/>
      <c r="BL409" s="130"/>
      <c r="BM409" s="130"/>
      <c r="BN409" s="130"/>
      <c r="BO409" s="130"/>
    </row>
    <row r="410" spans="16:67" s="166" customFormat="1" x14ac:dyDescent="0.2">
      <c r="P410" s="191"/>
      <c r="Q410" s="128"/>
      <c r="R410" s="130"/>
      <c r="S410" s="165"/>
      <c r="T410" s="130"/>
      <c r="U410" s="130"/>
      <c r="V410" s="130"/>
      <c r="W410" s="130"/>
      <c r="X410" s="130"/>
      <c r="Y410" s="130"/>
      <c r="Z410" s="130"/>
      <c r="AA410" s="130"/>
      <c r="AB410" s="130"/>
      <c r="AC410" s="130"/>
      <c r="AD410" s="130"/>
      <c r="AE410" s="130"/>
      <c r="AF410" s="130"/>
      <c r="AG410" s="130"/>
      <c r="AH410" s="130"/>
      <c r="AI410" s="130"/>
      <c r="AJ410" s="130"/>
      <c r="AK410" s="130"/>
      <c r="AL410" s="130"/>
      <c r="AM410" s="130"/>
      <c r="AN410" s="130"/>
      <c r="AO410" s="130"/>
      <c r="AP410" s="130"/>
      <c r="AQ410" s="190"/>
      <c r="AR410" s="190"/>
      <c r="AS410" s="190"/>
      <c r="AT410" s="190"/>
      <c r="AU410" s="190"/>
      <c r="AV410" s="190"/>
      <c r="AW410" s="190"/>
      <c r="AX410" s="130"/>
      <c r="AY410" s="130"/>
      <c r="AZ410" s="130"/>
      <c r="BA410" s="130"/>
      <c r="BB410" s="130"/>
      <c r="BC410" s="130"/>
      <c r="BD410" s="130"/>
      <c r="BE410" s="130"/>
      <c r="BF410" s="130"/>
      <c r="BG410" s="130"/>
      <c r="BH410" s="130"/>
      <c r="BI410" s="130"/>
      <c r="BJ410" s="130"/>
      <c r="BK410" s="130"/>
      <c r="BL410" s="130"/>
      <c r="BM410" s="130"/>
      <c r="BN410" s="130"/>
      <c r="BO410" s="130"/>
    </row>
    <row r="411" spans="16:67" s="166" customFormat="1" x14ac:dyDescent="0.2">
      <c r="P411" s="191"/>
      <c r="Q411" s="128"/>
      <c r="R411" s="130"/>
      <c r="S411" s="165"/>
      <c r="T411" s="130"/>
      <c r="U411" s="130"/>
      <c r="V411" s="130"/>
      <c r="W411" s="130"/>
      <c r="X411" s="130"/>
      <c r="Y411" s="130"/>
      <c r="Z411" s="130"/>
      <c r="AA411" s="130"/>
      <c r="AB411" s="130"/>
      <c r="AC411" s="130"/>
      <c r="AD411" s="130"/>
      <c r="AE411" s="130"/>
      <c r="AF411" s="130"/>
      <c r="AG411" s="130"/>
      <c r="AH411" s="130"/>
      <c r="AI411" s="130"/>
      <c r="AJ411" s="130"/>
      <c r="AK411" s="130"/>
      <c r="AL411" s="130"/>
      <c r="AM411" s="130"/>
      <c r="AN411" s="130"/>
      <c r="AO411" s="130"/>
      <c r="AP411" s="130"/>
      <c r="AQ411" s="190"/>
      <c r="AR411" s="190"/>
      <c r="AS411" s="190"/>
      <c r="AT411" s="190"/>
      <c r="AU411" s="190"/>
      <c r="AV411" s="190"/>
      <c r="AW411" s="190"/>
      <c r="AX411" s="130"/>
      <c r="AY411" s="130"/>
      <c r="AZ411" s="130"/>
      <c r="BA411" s="130"/>
      <c r="BB411" s="130"/>
      <c r="BC411" s="130"/>
      <c r="BD411" s="130"/>
      <c r="BE411" s="130"/>
      <c r="BF411" s="130"/>
      <c r="BG411" s="130"/>
      <c r="BH411" s="130"/>
      <c r="BI411" s="130"/>
      <c r="BJ411" s="130"/>
      <c r="BK411" s="130"/>
      <c r="BL411" s="130"/>
      <c r="BM411" s="130"/>
      <c r="BN411" s="130"/>
      <c r="BO411" s="130"/>
    </row>
    <row r="412" spans="16:67" s="166" customFormat="1" x14ac:dyDescent="0.2">
      <c r="P412" s="191"/>
      <c r="Q412" s="128"/>
      <c r="R412" s="130"/>
      <c r="S412" s="165"/>
      <c r="T412" s="130"/>
      <c r="U412" s="130"/>
      <c r="V412" s="130"/>
      <c r="W412" s="130"/>
      <c r="X412" s="130"/>
      <c r="Y412" s="130"/>
      <c r="Z412" s="130"/>
      <c r="AA412" s="130"/>
      <c r="AB412" s="130"/>
      <c r="AC412" s="130"/>
      <c r="AD412" s="130"/>
      <c r="AE412" s="130"/>
      <c r="AF412" s="130"/>
      <c r="AG412" s="130"/>
      <c r="AH412" s="130"/>
      <c r="AI412" s="130"/>
      <c r="AJ412" s="130"/>
      <c r="AK412" s="130"/>
      <c r="AL412" s="130"/>
      <c r="AM412" s="130"/>
      <c r="AN412" s="130"/>
      <c r="AO412" s="130"/>
      <c r="AP412" s="130"/>
      <c r="AQ412" s="190"/>
      <c r="AR412" s="190"/>
      <c r="AS412" s="190"/>
      <c r="AT412" s="190"/>
      <c r="AU412" s="190"/>
      <c r="AV412" s="190"/>
      <c r="AW412" s="190"/>
      <c r="AX412" s="130"/>
      <c r="AY412" s="130"/>
      <c r="AZ412" s="130"/>
      <c r="BA412" s="130"/>
      <c r="BB412" s="130"/>
      <c r="BC412" s="130"/>
      <c r="BD412" s="130"/>
      <c r="BE412" s="130"/>
      <c r="BF412" s="130"/>
      <c r="BG412" s="130"/>
      <c r="BH412" s="130"/>
      <c r="BI412" s="130"/>
      <c r="BJ412" s="130"/>
      <c r="BK412" s="130"/>
      <c r="BL412" s="130"/>
      <c r="BM412" s="130"/>
      <c r="BN412" s="130"/>
      <c r="BO412" s="130"/>
    </row>
    <row r="413" spans="16:67" s="166" customFormat="1" x14ac:dyDescent="0.2">
      <c r="P413" s="191"/>
      <c r="Q413" s="128"/>
      <c r="R413" s="130"/>
      <c r="S413" s="165"/>
      <c r="T413" s="130"/>
      <c r="U413" s="130"/>
      <c r="V413" s="130"/>
      <c r="W413" s="130"/>
      <c r="X413" s="130"/>
      <c r="Y413" s="130"/>
      <c r="Z413" s="130"/>
      <c r="AA413" s="130"/>
      <c r="AB413" s="130"/>
      <c r="AC413" s="130"/>
      <c r="AD413" s="130"/>
      <c r="AE413" s="130"/>
      <c r="AF413" s="130"/>
      <c r="AG413" s="130"/>
      <c r="AH413" s="130"/>
      <c r="AI413" s="130"/>
      <c r="AJ413" s="130"/>
      <c r="AK413" s="130"/>
      <c r="AL413" s="130"/>
      <c r="AM413" s="130"/>
      <c r="AN413" s="130"/>
      <c r="AO413" s="130"/>
      <c r="AP413" s="130"/>
      <c r="AQ413" s="190"/>
      <c r="AR413" s="190"/>
      <c r="AS413" s="190"/>
      <c r="AT413" s="190"/>
      <c r="AU413" s="190"/>
      <c r="AV413" s="190"/>
      <c r="AW413" s="190"/>
      <c r="AX413" s="130"/>
      <c r="AY413" s="130"/>
      <c r="AZ413" s="130"/>
      <c r="BA413" s="130"/>
      <c r="BB413" s="130"/>
      <c r="BC413" s="130"/>
      <c r="BD413" s="130"/>
      <c r="BE413" s="130"/>
      <c r="BF413" s="130"/>
      <c r="BG413" s="130"/>
      <c r="BH413" s="130"/>
      <c r="BI413" s="130"/>
      <c r="BJ413" s="130"/>
      <c r="BK413" s="130"/>
      <c r="BL413" s="130"/>
      <c r="BM413" s="130"/>
      <c r="BN413" s="130"/>
      <c r="BO413" s="130"/>
    </row>
    <row r="414" spans="16:67" s="166" customFormat="1" x14ac:dyDescent="0.2">
      <c r="P414" s="191"/>
      <c r="Q414" s="128"/>
      <c r="R414" s="130"/>
      <c r="S414" s="165"/>
      <c r="T414" s="130"/>
      <c r="U414" s="130"/>
      <c r="V414" s="130"/>
      <c r="W414" s="130"/>
      <c r="X414" s="130"/>
      <c r="Y414" s="130"/>
      <c r="Z414" s="130"/>
      <c r="AA414" s="130"/>
      <c r="AB414" s="130"/>
      <c r="AC414" s="130"/>
      <c r="AD414" s="130"/>
      <c r="AE414" s="130"/>
      <c r="AF414" s="130"/>
      <c r="AG414" s="130"/>
      <c r="AH414" s="130"/>
      <c r="AI414" s="130"/>
      <c r="AJ414" s="130"/>
      <c r="AK414" s="130"/>
      <c r="AL414" s="130"/>
      <c r="AM414" s="130"/>
      <c r="AN414" s="130"/>
      <c r="AO414" s="130"/>
      <c r="AP414" s="130"/>
      <c r="AQ414" s="190"/>
      <c r="AR414" s="190"/>
      <c r="AS414" s="190"/>
      <c r="AT414" s="190"/>
      <c r="AU414" s="190"/>
      <c r="AV414" s="190"/>
      <c r="AW414" s="190"/>
      <c r="AX414" s="130"/>
      <c r="AY414" s="130"/>
      <c r="AZ414" s="130"/>
      <c r="BA414" s="130"/>
      <c r="BB414" s="130"/>
      <c r="BC414" s="130"/>
      <c r="BD414" s="130"/>
      <c r="BE414" s="130"/>
      <c r="BF414" s="130"/>
      <c r="BG414" s="130"/>
      <c r="BH414" s="130"/>
      <c r="BI414" s="130"/>
      <c r="BJ414" s="130"/>
      <c r="BK414" s="130"/>
      <c r="BL414" s="130"/>
      <c r="BM414" s="130"/>
      <c r="BN414" s="130"/>
      <c r="BO414" s="130"/>
    </row>
    <row r="415" spans="16:67" s="166" customFormat="1" x14ac:dyDescent="0.2">
      <c r="P415" s="191"/>
      <c r="Q415" s="128"/>
      <c r="R415" s="130"/>
      <c r="S415" s="165"/>
      <c r="T415" s="130"/>
      <c r="U415" s="130"/>
      <c r="V415" s="130"/>
      <c r="W415" s="130"/>
      <c r="X415" s="130"/>
      <c r="Y415" s="130"/>
      <c r="Z415" s="130"/>
      <c r="AA415" s="130"/>
      <c r="AB415" s="130"/>
      <c r="AC415" s="130"/>
      <c r="AD415" s="130"/>
      <c r="AE415" s="130"/>
      <c r="AF415" s="130"/>
      <c r="AG415" s="130"/>
      <c r="AH415" s="130"/>
      <c r="AI415" s="130"/>
      <c r="AJ415" s="130"/>
      <c r="AK415" s="130"/>
      <c r="AL415" s="130"/>
      <c r="AM415" s="130"/>
      <c r="AN415" s="130"/>
      <c r="AO415" s="130"/>
      <c r="AP415" s="130"/>
      <c r="AQ415" s="190"/>
      <c r="AR415" s="190"/>
      <c r="AS415" s="190"/>
      <c r="AT415" s="190"/>
      <c r="AU415" s="190"/>
      <c r="AV415" s="190"/>
      <c r="AW415" s="190"/>
      <c r="AX415" s="130"/>
      <c r="AY415" s="130"/>
      <c r="AZ415" s="130"/>
      <c r="BA415" s="130"/>
      <c r="BB415" s="130"/>
      <c r="BC415" s="130"/>
      <c r="BD415" s="130"/>
      <c r="BE415" s="130"/>
      <c r="BF415" s="130"/>
      <c r="BG415" s="130"/>
      <c r="BH415" s="130"/>
      <c r="BI415" s="130"/>
      <c r="BJ415" s="130"/>
      <c r="BK415" s="130"/>
      <c r="BL415" s="130"/>
      <c r="BM415" s="130"/>
      <c r="BN415" s="130"/>
      <c r="BO415" s="130"/>
    </row>
    <row r="416" spans="16:67" s="166" customFormat="1" x14ac:dyDescent="0.2">
      <c r="P416" s="191"/>
      <c r="Q416" s="128"/>
      <c r="R416" s="130"/>
      <c r="S416" s="165"/>
      <c r="T416" s="130"/>
      <c r="U416" s="130"/>
      <c r="V416" s="130"/>
      <c r="W416" s="130"/>
      <c r="X416" s="130"/>
      <c r="Y416" s="130"/>
      <c r="Z416" s="130"/>
      <c r="AA416" s="130"/>
      <c r="AB416" s="130"/>
      <c r="AC416" s="130"/>
      <c r="AD416" s="130"/>
      <c r="AE416" s="130"/>
      <c r="AF416" s="130"/>
      <c r="AG416" s="130"/>
      <c r="AH416" s="130"/>
      <c r="AI416" s="130"/>
      <c r="AJ416" s="130"/>
      <c r="AK416" s="130"/>
      <c r="AL416" s="130"/>
      <c r="AM416" s="130"/>
      <c r="AN416" s="130"/>
      <c r="AO416" s="130"/>
      <c r="AP416" s="130"/>
      <c r="AQ416" s="190"/>
      <c r="AR416" s="190"/>
      <c r="AS416" s="190"/>
      <c r="AT416" s="190"/>
      <c r="AU416" s="190"/>
      <c r="AV416" s="190"/>
      <c r="AW416" s="190"/>
      <c r="AX416" s="130"/>
      <c r="AY416" s="130"/>
      <c r="AZ416" s="130"/>
      <c r="BA416" s="130"/>
      <c r="BB416" s="130"/>
      <c r="BC416" s="130"/>
      <c r="BD416" s="130"/>
      <c r="BE416" s="130"/>
      <c r="BF416" s="130"/>
      <c r="BG416" s="130"/>
      <c r="BH416" s="130"/>
      <c r="BI416" s="130"/>
      <c r="BJ416" s="130"/>
      <c r="BK416" s="130"/>
      <c r="BL416" s="130"/>
      <c r="BM416" s="130"/>
      <c r="BN416" s="130"/>
      <c r="BO416" s="130"/>
    </row>
    <row r="417" spans="16:68" s="166" customFormat="1" x14ac:dyDescent="0.2">
      <c r="P417" s="191"/>
      <c r="Q417" s="128"/>
      <c r="R417" s="128"/>
      <c r="S417" s="130"/>
      <c r="T417" s="165"/>
      <c r="U417" s="130"/>
      <c r="V417" s="130"/>
      <c r="W417" s="130"/>
      <c r="X417" s="130"/>
      <c r="Y417" s="130"/>
      <c r="Z417" s="130"/>
      <c r="AA417" s="130"/>
      <c r="AB417" s="130"/>
      <c r="AC417" s="130"/>
      <c r="AD417" s="130"/>
      <c r="AE417" s="130"/>
      <c r="AF417" s="130"/>
      <c r="AG417" s="130"/>
      <c r="AH417" s="130"/>
      <c r="AI417" s="130"/>
      <c r="AJ417" s="130"/>
      <c r="AK417" s="130"/>
      <c r="AL417" s="130"/>
      <c r="AM417" s="130"/>
      <c r="AN417" s="130"/>
      <c r="AO417" s="130"/>
      <c r="AP417" s="130"/>
      <c r="AQ417" s="190"/>
      <c r="AR417" s="190"/>
      <c r="AS417" s="190"/>
      <c r="AT417" s="190"/>
      <c r="AU417" s="190"/>
      <c r="AV417" s="190"/>
      <c r="AW417" s="190"/>
      <c r="AX417" s="130"/>
      <c r="AY417" s="130"/>
      <c r="AZ417" s="130"/>
      <c r="BA417" s="130"/>
      <c r="BB417" s="130"/>
      <c r="BC417" s="130"/>
      <c r="BD417" s="130"/>
      <c r="BE417" s="130"/>
      <c r="BF417" s="130"/>
      <c r="BG417" s="130"/>
      <c r="BH417" s="130"/>
      <c r="BI417" s="130"/>
      <c r="BJ417" s="130"/>
      <c r="BK417" s="130"/>
      <c r="BL417" s="130"/>
      <c r="BM417" s="130"/>
      <c r="BN417" s="130"/>
      <c r="BO417" s="130"/>
      <c r="BP417" s="130"/>
    </row>
    <row r="418" spans="16:68" s="166" customFormat="1" x14ac:dyDescent="0.2">
      <c r="P418" s="191"/>
      <c r="Q418" s="128"/>
      <c r="R418" s="128"/>
      <c r="S418" s="130"/>
      <c r="T418" s="165"/>
      <c r="U418" s="130"/>
      <c r="V418" s="130"/>
      <c r="W418" s="130"/>
      <c r="X418" s="130"/>
      <c r="Y418" s="130"/>
      <c r="Z418" s="130"/>
      <c r="AA418" s="130"/>
      <c r="AB418" s="130"/>
      <c r="AC418" s="130"/>
      <c r="AD418" s="130"/>
      <c r="AE418" s="130"/>
      <c r="AF418" s="130"/>
      <c r="AG418" s="130"/>
      <c r="AH418" s="130"/>
      <c r="AI418" s="130"/>
      <c r="AJ418" s="130"/>
      <c r="AK418" s="130"/>
      <c r="AL418" s="130"/>
      <c r="AM418" s="130"/>
      <c r="AN418" s="130"/>
      <c r="AO418" s="130"/>
      <c r="AP418" s="130"/>
      <c r="AQ418" s="190"/>
      <c r="AR418" s="190"/>
      <c r="AS418" s="190"/>
      <c r="AT418" s="190"/>
      <c r="AU418" s="190"/>
      <c r="AV418" s="190"/>
      <c r="AW418" s="190"/>
      <c r="AX418" s="130"/>
      <c r="AY418" s="130"/>
      <c r="AZ418" s="130"/>
      <c r="BA418" s="130"/>
      <c r="BB418" s="130"/>
      <c r="BC418" s="130"/>
      <c r="BD418" s="130"/>
      <c r="BE418" s="130"/>
      <c r="BF418" s="130"/>
      <c r="BG418" s="130"/>
      <c r="BH418" s="130"/>
      <c r="BI418" s="130"/>
      <c r="BJ418" s="130"/>
      <c r="BK418" s="130"/>
      <c r="BL418" s="130"/>
      <c r="BM418" s="130"/>
      <c r="BN418" s="130"/>
      <c r="BO418" s="130"/>
      <c r="BP418" s="130"/>
    </row>
    <row r="419" spans="16:68" s="166" customFormat="1" x14ac:dyDescent="0.2">
      <c r="P419" s="191"/>
      <c r="Q419" s="128"/>
      <c r="R419" s="128"/>
      <c r="S419" s="130"/>
      <c r="T419" s="165"/>
      <c r="U419" s="130"/>
      <c r="V419" s="130"/>
      <c r="W419" s="130"/>
      <c r="X419" s="130"/>
      <c r="Y419" s="130"/>
      <c r="Z419" s="130"/>
      <c r="AA419" s="130"/>
      <c r="AB419" s="130"/>
      <c r="AC419" s="130"/>
      <c r="AD419" s="130"/>
      <c r="AE419" s="130"/>
      <c r="AF419" s="130"/>
      <c r="AG419" s="130"/>
      <c r="AH419" s="130"/>
      <c r="AI419" s="130"/>
      <c r="AJ419" s="130"/>
      <c r="AK419" s="130"/>
      <c r="AL419" s="130"/>
      <c r="AM419" s="130"/>
      <c r="AN419" s="130"/>
      <c r="AO419" s="130"/>
      <c r="AP419" s="130"/>
      <c r="AQ419" s="190"/>
      <c r="AR419" s="190"/>
      <c r="AS419" s="190"/>
      <c r="AT419" s="190"/>
      <c r="AU419" s="190"/>
      <c r="AV419" s="190"/>
      <c r="AW419" s="190"/>
      <c r="AX419" s="130"/>
      <c r="AY419" s="130"/>
      <c r="AZ419" s="130"/>
      <c r="BA419" s="130"/>
      <c r="BB419" s="130"/>
      <c r="BC419" s="130"/>
      <c r="BD419" s="130"/>
      <c r="BE419" s="130"/>
      <c r="BF419" s="130"/>
      <c r="BG419" s="130"/>
      <c r="BH419" s="130"/>
      <c r="BI419" s="130"/>
      <c r="BJ419" s="130"/>
      <c r="BK419" s="130"/>
      <c r="BL419" s="130"/>
      <c r="BM419" s="130"/>
      <c r="BN419" s="130"/>
      <c r="BO419" s="130"/>
      <c r="BP419" s="130"/>
    </row>
    <row r="420" spans="16:68" s="166" customFormat="1" x14ac:dyDescent="0.2">
      <c r="P420" s="191"/>
      <c r="Q420" s="128"/>
      <c r="R420" s="128"/>
      <c r="S420" s="130"/>
      <c r="T420" s="165"/>
      <c r="U420" s="130"/>
      <c r="V420" s="130"/>
      <c r="W420" s="130"/>
      <c r="X420" s="130"/>
      <c r="Y420" s="130"/>
      <c r="Z420" s="130"/>
      <c r="AA420" s="130"/>
      <c r="AB420" s="130"/>
      <c r="AC420" s="130"/>
      <c r="AD420" s="130"/>
      <c r="AE420" s="130"/>
      <c r="AF420" s="130"/>
      <c r="AG420" s="130"/>
      <c r="AH420" s="130"/>
      <c r="AI420" s="130"/>
      <c r="AJ420" s="130"/>
      <c r="AK420" s="130"/>
      <c r="AL420" s="130"/>
      <c r="AM420" s="130"/>
      <c r="AN420" s="130"/>
      <c r="AO420" s="130"/>
      <c r="AP420" s="130"/>
      <c r="AQ420" s="190"/>
      <c r="AR420" s="190"/>
      <c r="AS420" s="190"/>
      <c r="AT420" s="190"/>
      <c r="AU420" s="190"/>
      <c r="AV420" s="190"/>
      <c r="AW420" s="190"/>
      <c r="AX420" s="130"/>
      <c r="AY420" s="130"/>
      <c r="AZ420" s="130"/>
      <c r="BA420" s="130"/>
      <c r="BB420" s="130"/>
      <c r="BC420" s="130"/>
      <c r="BD420" s="130"/>
      <c r="BE420" s="130"/>
      <c r="BF420" s="130"/>
      <c r="BG420" s="130"/>
      <c r="BH420" s="130"/>
      <c r="BI420" s="130"/>
      <c r="BJ420" s="130"/>
      <c r="BK420" s="130"/>
      <c r="BL420" s="130"/>
      <c r="BM420" s="130"/>
      <c r="BN420" s="130"/>
      <c r="BO420" s="130"/>
      <c r="BP420" s="130"/>
    </row>
    <row r="421" spans="16:68" s="166" customFormat="1" x14ac:dyDescent="0.2">
      <c r="P421" s="191"/>
      <c r="Q421" s="128"/>
      <c r="R421" s="128"/>
      <c r="S421" s="130"/>
      <c r="T421" s="165"/>
      <c r="U421" s="130"/>
      <c r="V421" s="130"/>
      <c r="W421" s="130"/>
      <c r="X421" s="130"/>
      <c r="Y421" s="130"/>
      <c r="Z421" s="130"/>
      <c r="AA421" s="130"/>
      <c r="AB421" s="130"/>
      <c r="AC421" s="130"/>
      <c r="AD421" s="130"/>
      <c r="AE421" s="130"/>
      <c r="AF421" s="130"/>
      <c r="AG421" s="130"/>
      <c r="AH421" s="130"/>
      <c r="AI421" s="130"/>
      <c r="AJ421" s="130"/>
      <c r="AK421" s="130"/>
      <c r="AL421" s="130"/>
      <c r="AM421" s="130"/>
      <c r="AN421" s="130"/>
      <c r="AO421" s="130"/>
      <c r="AP421" s="130"/>
      <c r="AQ421" s="190"/>
      <c r="AR421" s="190"/>
      <c r="AS421" s="190"/>
      <c r="AT421" s="190"/>
      <c r="AU421" s="190"/>
      <c r="AV421" s="190"/>
      <c r="AW421" s="190"/>
      <c r="AX421" s="130"/>
      <c r="AY421" s="130"/>
      <c r="AZ421" s="130"/>
      <c r="BA421" s="130"/>
      <c r="BB421" s="130"/>
      <c r="BC421" s="130"/>
      <c r="BD421" s="130"/>
      <c r="BE421" s="130"/>
      <c r="BF421" s="130"/>
      <c r="BG421" s="130"/>
      <c r="BH421" s="130"/>
      <c r="BI421" s="130"/>
      <c r="BJ421" s="130"/>
      <c r="BK421" s="130"/>
      <c r="BL421" s="130"/>
      <c r="BM421" s="130"/>
      <c r="BN421" s="130"/>
      <c r="BO421" s="130"/>
      <c r="BP421" s="130"/>
    </row>
    <row r="422" spans="16:68" s="166" customFormat="1" x14ac:dyDescent="0.2">
      <c r="P422" s="191"/>
      <c r="Q422" s="128"/>
      <c r="R422" s="128"/>
      <c r="S422" s="130"/>
      <c r="T422" s="165"/>
      <c r="U422" s="130"/>
      <c r="V422" s="130"/>
      <c r="W422" s="130"/>
      <c r="X422" s="130"/>
      <c r="Y422" s="130"/>
      <c r="Z422" s="130"/>
      <c r="AA422" s="130"/>
      <c r="AB422" s="130"/>
      <c r="AC422" s="130"/>
      <c r="AD422" s="130"/>
      <c r="AE422" s="130"/>
      <c r="AF422" s="130"/>
      <c r="AG422" s="130"/>
      <c r="AH422" s="130"/>
      <c r="AI422" s="130"/>
      <c r="AJ422" s="130"/>
      <c r="AK422" s="130"/>
      <c r="AL422" s="130"/>
      <c r="AM422" s="130"/>
      <c r="AN422" s="130"/>
      <c r="AO422" s="130"/>
      <c r="AP422" s="130"/>
      <c r="AQ422" s="190"/>
      <c r="AR422" s="190"/>
      <c r="AS422" s="190"/>
      <c r="AT422" s="190"/>
      <c r="AU422" s="190"/>
      <c r="AV422" s="190"/>
      <c r="AW422" s="190"/>
      <c r="AX422" s="130"/>
      <c r="AY422" s="130"/>
      <c r="AZ422" s="130"/>
      <c r="BA422" s="130"/>
      <c r="BB422" s="130"/>
      <c r="BC422" s="130"/>
      <c r="BD422" s="130"/>
      <c r="BE422" s="130"/>
      <c r="BF422" s="130"/>
      <c r="BG422" s="130"/>
      <c r="BH422" s="130"/>
      <c r="BI422" s="130"/>
      <c r="BJ422" s="130"/>
      <c r="BK422" s="130"/>
      <c r="BL422" s="130"/>
      <c r="BM422" s="130"/>
      <c r="BN422" s="130"/>
      <c r="BO422" s="130"/>
      <c r="BP422" s="130"/>
    </row>
    <row r="423" spans="16:68" s="166" customFormat="1" x14ac:dyDescent="0.2">
      <c r="P423" s="191"/>
      <c r="Q423" s="128"/>
      <c r="R423" s="128"/>
      <c r="S423" s="130"/>
      <c r="T423" s="165"/>
      <c r="U423" s="130"/>
      <c r="V423" s="130"/>
      <c r="W423" s="130"/>
      <c r="X423" s="130"/>
      <c r="Y423" s="130"/>
      <c r="Z423" s="130"/>
      <c r="AA423" s="130"/>
      <c r="AB423" s="130"/>
      <c r="AC423" s="130"/>
      <c r="AD423" s="130"/>
      <c r="AE423" s="130"/>
      <c r="AF423" s="130"/>
      <c r="AG423" s="130"/>
      <c r="AH423" s="130"/>
      <c r="AI423" s="130"/>
      <c r="AJ423" s="130"/>
      <c r="AK423" s="130"/>
      <c r="AL423" s="130"/>
      <c r="AM423" s="130"/>
      <c r="AN423" s="130"/>
      <c r="AO423" s="130"/>
      <c r="AP423" s="130"/>
      <c r="AQ423" s="190"/>
      <c r="AR423" s="190"/>
      <c r="AS423" s="190"/>
      <c r="AT423" s="190"/>
      <c r="AU423" s="190"/>
      <c r="AV423" s="190"/>
      <c r="AW423" s="190"/>
      <c r="AX423" s="130"/>
      <c r="AY423" s="130"/>
      <c r="AZ423" s="130"/>
      <c r="BA423" s="130"/>
      <c r="BB423" s="130"/>
      <c r="BC423" s="130"/>
      <c r="BD423" s="130"/>
      <c r="BE423" s="130"/>
      <c r="BF423" s="130"/>
      <c r="BG423" s="130"/>
      <c r="BH423" s="130"/>
      <c r="BI423" s="130"/>
      <c r="BJ423" s="130"/>
      <c r="BK423" s="130"/>
      <c r="BL423" s="130"/>
      <c r="BM423" s="130"/>
      <c r="BN423" s="130"/>
      <c r="BO423" s="130"/>
      <c r="BP423" s="130"/>
    </row>
    <row r="424" spans="16:68" s="166" customFormat="1" x14ac:dyDescent="0.2">
      <c r="P424" s="191"/>
      <c r="Q424" s="128"/>
      <c r="R424" s="128"/>
      <c r="S424" s="130"/>
      <c r="T424" s="165"/>
      <c r="U424" s="130"/>
      <c r="V424" s="130"/>
      <c r="W424" s="130"/>
      <c r="X424" s="130"/>
      <c r="Y424" s="130"/>
      <c r="Z424" s="130"/>
      <c r="AA424" s="130"/>
      <c r="AB424" s="130"/>
      <c r="AC424" s="130"/>
      <c r="AD424" s="130"/>
      <c r="AE424" s="130"/>
      <c r="AF424" s="130"/>
      <c r="AG424" s="130"/>
      <c r="AH424" s="130"/>
      <c r="AI424" s="130"/>
      <c r="AJ424" s="130"/>
      <c r="AK424" s="130"/>
      <c r="AL424" s="130"/>
      <c r="AM424" s="130"/>
      <c r="AN424" s="130"/>
      <c r="AO424" s="130"/>
      <c r="AP424" s="130"/>
      <c r="AQ424" s="190"/>
      <c r="AR424" s="190"/>
      <c r="AS424" s="190"/>
      <c r="AT424" s="190"/>
      <c r="AU424" s="190"/>
      <c r="AV424" s="190"/>
      <c r="AW424" s="190"/>
      <c r="AX424" s="130"/>
      <c r="AY424" s="130"/>
      <c r="AZ424" s="130"/>
      <c r="BA424" s="130"/>
      <c r="BB424" s="130"/>
      <c r="BC424" s="130"/>
      <c r="BD424" s="130"/>
      <c r="BE424" s="130"/>
      <c r="BF424" s="130"/>
      <c r="BG424" s="130"/>
      <c r="BH424" s="130"/>
      <c r="BI424" s="130"/>
      <c r="BJ424" s="130"/>
      <c r="BK424" s="130"/>
      <c r="BL424" s="130"/>
      <c r="BM424" s="130"/>
      <c r="BN424" s="130"/>
      <c r="BO424" s="130"/>
      <c r="BP424" s="130"/>
    </row>
    <row r="425" spans="16:68" s="166" customFormat="1" x14ac:dyDescent="0.2">
      <c r="P425" s="191"/>
      <c r="Q425" s="128"/>
      <c r="R425" s="128"/>
      <c r="S425" s="130"/>
      <c r="T425" s="165"/>
      <c r="U425" s="130"/>
      <c r="V425" s="130"/>
      <c r="W425" s="130"/>
      <c r="X425" s="130"/>
      <c r="Y425" s="130"/>
      <c r="Z425" s="130"/>
      <c r="AA425" s="130"/>
      <c r="AB425" s="130"/>
      <c r="AC425" s="130"/>
      <c r="AD425" s="130"/>
      <c r="AE425" s="130"/>
      <c r="AF425" s="130"/>
      <c r="AG425" s="130"/>
      <c r="AH425" s="130"/>
      <c r="AI425" s="130"/>
      <c r="AJ425" s="130"/>
      <c r="AK425" s="130"/>
      <c r="AL425" s="130"/>
      <c r="AM425" s="130"/>
      <c r="AN425" s="130"/>
      <c r="AO425" s="130"/>
      <c r="AP425" s="130"/>
      <c r="AQ425" s="190"/>
      <c r="AR425" s="190"/>
      <c r="AS425" s="190"/>
      <c r="AT425" s="190"/>
      <c r="AU425" s="190"/>
      <c r="AV425" s="190"/>
      <c r="AW425" s="190"/>
      <c r="AX425" s="130"/>
      <c r="AY425" s="130"/>
      <c r="AZ425" s="130"/>
      <c r="BA425" s="130"/>
      <c r="BB425" s="130"/>
      <c r="BC425" s="130"/>
      <c r="BD425" s="130"/>
      <c r="BE425" s="130"/>
      <c r="BF425" s="130"/>
      <c r="BG425" s="130"/>
      <c r="BH425" s="130"/>
      <c r="BI425" s="130"/>
      <c r="BJ425" s="130"/>
      <c r="BK425" s="130"/>
      <c r="BL425" s="130"/>
      <c r="BM425" s="130"/>
      <c r="BN425" s="130"/>
      <c r="BO425" s="130"/>
      <c r="BP425" s="130"/>
    </row>
    <row r="426" spans="16:68" s="166" customFormat="1" x14ac:dyDescent="0.2">
      <c r="P426" s="191"/>
      <c r="Q426" s="128"/>
      <c r="R426" s="128"/>
      <c r="S426" s="130"/>
      <c r="T426" s="165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30"/>
      <c r="AG426" s="130"/>
      <c r="AH426" s="130"/>
      <c r="AI426" s="130"/>
      <c r="AJ426" s="130"/>
      <c r="AK426" s="130"/>
      <c r="AL426" s="130"/>
      <c r="AM426" s="130"/>
      <c r="AN426" s="130"/>
      <c r="AO426" s="130"/>
      <c r="AP426" s="130"/>
      <c r="AQ426" s="190"/>
      <c r="AR426" s="190"/>
      <c r="AS426" s="190"/>
      <c r="AT426" s="190"/>
      <c r="AU426" s="190"/>
      <c r="AV426" s="190"/>
      <c r="AW426" s="190"/>
      <c r="AX426" s="130"/>
      <c r="AY426" s="130"/>
      <c r="AZ426" s="130"/>
      <c r="BA426" s="130"/>
      <c r="BB426" s="130"/>
      <c r="BC426" s="130"/>
      <c r="BD426" s="130"/>
      <c r="BE426" s="130"/>
      <c r="BF426" s="130"/>
      <c r="BG426" s="130"/>
      <c r="BH426" s="130"/>
      <c r="BI426" s="130"/>
      <c r="BJ426" s="130"/>
      <c r="BK426" s="130"/>
      <c r="BL426" s="130"/>
      <c r="BM426" s="130"/>
      <c r="BN426" s="130"/>
      <c r="BO426" s="130"/>
      <c r="BP426" s="130"/>
    </row>
    <row r="427" spans="16:68" s="166" customFormat="1" x14ac:dyDescent="0.2">
      <c r="P427" s="191"/>
      <c r="Q427" s="128"/>
      <c r="R427" s="128"/>
      <c r="S427" s="130"/>
      <c r="T427" s="165"/>
      <c r="U427" s="130"/>
      <c r="V427" s="130"/>
      <c r="W427" s="130"/>
      <c r="X427" s="130"/>
      <c r="Y427" s="130"/>
      <c r="Z427" s="130"/>
      <c r="AA427" s="130"/>
      <c r="AB427" s="130"/>
      <c r="AC427" s="130"/>
      <c r="AD427" s="130"/>
      <c r="AE427" s="130"/>
      <c r="AF427" s="130"/>
      <c r="AG427" s="130"/>
      <c r="AH427" s="130"/>
      <c r="AI427" s="130"/>
      <c r="AJ427" s="130"/>
      <c r="AK427" s="130"/>
      <c r="AL427" s="130"/>
      <c r="AM427" s="130"/>
      <c r="AN427" s="130"/>
      <c r="AO427" s="130"/>
      <c r="AP427" s="130"/>
      <c r="AQ427" s="190"/>
      <c r="AR427" s="190"/>
      <c r="AS427" s="190"/>
      <c r="AT427" s="190"/>
      <c r="AU427" s="190"/>
      <c r="AV427" s="190"/>
      <c r="AW427" s="190"/>
      <c r="AX427" s="130"/>
      <c r="AY427" s="130"/>
      <c r="AZ427" s="130"/>
      <c r="BA427" s="130"/>
      <c r="BB427" s="130"/>
      <c r="BC427" s="130"/>
      <c r="BD427" s="130"/>
      <c r="BE427" s="130"/>
      <c r="BF427" s="130"/>
      <c r="BG427" s="130"/>
      <c r="BH427" s="130"/>
      <c r="BI427" s="130"/>
      <c r="BJ427" s="130"/>
      <c r="BK427" s="130"/>
      <c r="BL427" s="130"/>
      <c r="BM427" s="130"/>
      <c r="BN427" s="130"/>
      <c r="BO427" s="130"/>
      <c r="BP427" s="130"/>
    </row>
    <row r="428" spans="16:68" s="166" customFormat="1" x14ac:dyDescent="0.2">
      <c r="P428" s="191"/>
      <c r="Q428" s="128"/>
      <c r="R428" s="128"/>
      <c r="S428" s="130"/>
      <c r="T428" s="165"/>
      <c r="U428" s="130"/>
      <c r="V428" s="130"/>
      <c r="W428" s="130"/>
      <c r="X428" s="130"/>
      <c r="Y428" s="130"/>
      <c r="Z428" s="130"/>
      <c r="AA428" s="130"/>
      <c r="AB428" s="130"/>
      <c r="AC428" s="130"/>
      <c r="AD428" s="130"/>
      <c r="AE428" s="130"/>
      <c r="AF428" s="130"/>
      <c r="AG428" s="130"/>
      <c r="AH428" s="130"/>
      <c r="AI428" s="130"/>
      <c r="AJ428" s="130"/>
      <c r="AK428" s="130"/>
      <c r="AL428" s="130"/>
      <c r="AM428" s="130"/>
      <c r="AN428" s="130"/>
      <c r="AO428" s="130"/>
      <c r="AP428" s="130"/>
      <c r="AQ428" s="190"/>
      <c r="AR428" s="190"/>
      <c r="AS428" s="190"/>
      <c r="AT428" s="190"/>
      <c r="AU428" s="190"/>
      <c r="AV428" s="190"/>
      <c r="AW428" s="190"/>
      <c r="AX428" s="130"/>
      <c r="AY428" s="130"/>
      <c r="AZ428" s="130"/>
      <c r="BA428" s="130"/>
      <c r="BB428" s="130"/>
      <c r="BC428" s="130"/>
      <c r="BD428" s="130"/>
      <c r="BE428" s="130"/>
      <c r="BF428" s="130"/>
      <c r="BG428" s="130"/>
      <c r="BH428" s="130"/>
      <c r="BI428" s="130"/>
      <c r="BJ428" s="130"/>
      <c r="BK428" s="130"/>
      <c r="BL428" s="130"/>
      <c r="BM428" s="130"/>
      <c r="BN428" s="130"/>
      <c r="BO428" s="130"/>
      <c r="BP428" s="130"/>
    </row>
    <row r="429" spans="16:68" s="166" customFormat="1" x14ac:dyDescent="0.2">
      <c r="P429" s="191"/>
      <c r="Q429" s="128"/>
      <c r="R429" s="128"/>
      <c r="S429" s="130"/>
      <c r="T429" s="165"/>
      <c r="U429" s="130"/>
      <c r="V429" s="130"/>
      <c r="W429" s="130"/>
      <c r="X429" s="130"/>
      <c r="Y429" s="130"/>
      <c r="Z429" s="130"/>
      <c r="AA429" s="130"/>
      <c r="AB429" s="130"/>
      <c r="AC429" s="130"/>
      <c r="AD429" s="130"/>
      <c r="AE429" s="130"/>
      <c r="AF429" s="130"/>
      <c r="AG429" s="130"/>
      <c r="AH429" s="130"/>
      <c r="AI429" s="130"/>
      <c r="AJ429" s="130"/>
      <c r="AK429" s="130"/>
      <c r="AL429" s="130"/>
      <c r="AM429" s="130"/>
      <c r="AN429" s="130"/>
      <c r="AO429" s="130"/>
      <c r="AP429" s="130"/>
      <c r="AQ429" s="190"/>
      <c r="AR429" s="190"/>
      <c r="AS429" s="190"/>
      <c r="AT429" s="190"/>
      <c r="AU429" s="190"/>
      <c r="AV429" s="190"/>
      <c r="AW429" s="190"/>
      <c r="AX429" s="130"/>
      <c r="AY429" s="130"/>
      <c r="AZ429" s="130"/>
      <c r="BA429" s="130"/>
      <c r="BB429" s="130"/>
      <c r="BC429" s="130"/>
      <c r="BD429" s="130"/>
      <c r="BE429" s="130"/>
      <c r="BF429" s="130"/>
      <c r="BG429" s="130"/>
      <c r="BH429" s="130"/>
      <c r="BI429" s="130"/>
      <c r="BJ429" s="130"/>
      <c r="BK429" s="130"/>
      <c r="BL429" s="130"/>
      <c r="BM429" s="130"/>
      <c r="BN429" s="130"/>
      <c r="BO429" s="130"/>
      <c r="BP429" s="130"/>
    </row>
    <row r="430" spans="16:68" s="166" customFormat="1" x14ac:dyDescent="0.2">
      <c r="P430" s="191"/>
      <c r="Q430" s="128"/>
      <c r="R430" s="128"/>
      <c r="S430" s="130"/>
      <c r="T430" s="165"/>
      <c r="U430" s="130"/>
      <c r="V430" s="130"/>
      <c r="W430" s="130"/>
      <c r="X430" s="130"/>
      <c r="Y430" s="130"/>
      <c r="Z430" s="130"/>
      <c r="AA430" s="130"/>
      <c r="AB430" s="130"/>
      <c r="AC430" s="130"/>
      <c r="AD430" s="130"/>
      <c r="AE430" s="130"/>
      <c r="AF430" s="130"/>
      <c r="AG430" s="130"/>
      <c r="AH430" s="130"/>
      <c r="AI430" s="130"/>
      <c r="AJ430" s="130"/>
      <c r="AK430" s="130"/>
      <c r="AL430" s="130"/>
      <c r="AM430" s="130"/>
      <c r="AN430" s="130"/>
      <c r="AO430" s="130"/>
      <c r="AP430" s="130"/>
      <c r="AQ430" s="190"/>
      <c r="AR430" s="190"/>
      <c r="AS430" s="190"/>
      <c r="AT430" s="190"/>
      <c r="AU430" s="190"/>
      <c r="AV430" s="190"/>
      <c r="AW430" s="190"/>
      <c r="AX430" s="130"/>
      <c r="AY430" s="130"/>
      <c r="AZ430" s="130"/>
      <c r="BA430" s="130"/>
      <c r="BB430" s="130"/>
      <c r="BC430" s="130"/>
      <c r="BD430" s="130"/>
      <c r="BE430" s="130"/>
      <c r="BF430" s="130"/>
      <c r="BG430" s="130"/>
      <c r="BH430" s="130"/>
      <c r="BI430" s="130"/>
      <c r="BJ430" s="130"/>
      <c r="BK430" s="130"/>
      <c r="BL430" s="130"/>
      <c r="BM430" s="130"/>
      <c r="BN430" s="130"/>
      <c r="BO430" s="130"/>
      <c r="BP430" s="130"/>
    </row>
    <row r="431" spans="16:68" s="18" customFormat="1" x14ac:dyDescent="0.2">
      <c r="P431" s="17"/>
      <c r="Q431" s="102"/>
      <c r="R431" s="128"/>
      <c r="S431" s="130"/>
      <c r="T431" s="165"/>
      <c r="U431" s="130"/>
      <c r="V431" s="130"/>
      <c r="W431" s="130"/>
      <c r="X431" s="130"/>
      <c r="Y431" s="130"/>
      <c r="Z431" s="130"/>
      <c r="AA431" s="130"/>
      <c r="AB431" s="130"/>
      <c r="AC431" s="130"/>
      <c r="AD431" s="130"/>
      <c r="AE431" s="130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23"/>
      <c r="AR431" s="23"/>
      <c r="AS431" s="23"/>
      <c r="AT431" s="23"/>
      <c r="AU431" s="23"/>
      <c r="AV431" s="23"/>
      <c r="AW431" s="23"/>
      <c r="AX431" s="13"/>
      <c r="AY431" s="13"/>
      <c r="AZ431" s="13"/>
      <c r="BA431" s="13"/>
      <c r="BB431" s="13"/>
      <c r="BC431" s="13"/>
      <c r="BD431" s="13"/>
      <c r="BE431" s="13"/>
      <c r="BF431" s="13"/>
      <c r="BG431" s="13"/>
      <c r="BH431" s="13"/>
      <c r="BI431" s="13"/>
      <c r="BJ431" s="13"/>
      <c r="BK431" s="13"/>
      <c r="BL431" s="13"/>
      <c r="BM431" s="13"/>
      <c r="BN431" s="13"/>
      <c r="BO431" s="13"/>
      <c r="BP431" s="13"/>
    </row>
    <row r="432" spans="16:68" s="18" customFormat="1" x14ac:dyDescent="0.2">
      <c r="P432" s="17"/>
      <c r="Q432" s="102"/>
      <c r="R432" s="128"/>
      <c r="S432" s="130"/>
      <c r="T432" s="165"/>
      <c r="U432" s="130"/>
      <c r="V432" s="130"/>
      <c r="W432" s="130"/>
      <c r="X432" s="130"/>
      <c r="Y432" s="130"/>
      <c r="Z432" s="130"/>
      <c r="AA432" s="130"/>
      <c r="AB432" s="130"/>
      <c r="AC432" s="130"/>
      <c r="AD432" s="130"/>
      <c r="AE432" s="130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23"/>
      <c r="AR432" s="23"/>
      <c r="AS432" s="23"/>
      <c r="AT432" s="23"/>
      <c r="AU432" s="23"/>
      <c r="AV432" s="23"/>
      <c r="AW432" s="23"/>
      <c r="AX432" s="13"/>
      <c r="AY432" s="13"/>
      <c r="AZ432" s="13"/>
      <c r="BA432" s="13"/>
      <c r="BB432" s="13"/>
      <c r="BC432" s="13"/>
      <c r="BD432" s="13"/>
      <c r="BE432" s="13"/>
      <c r="BF432" s="13"/>
      <c r="BG432" s="13"/>
      <c r="BH432" s="13"/>
      <c r="BI432" s="13"/>
      <c r="BJ432" s="13"/>
      <c r="BK432" s="13"/>
      <c r="BL432" s="13"/>
      <c r="BM432" s="13"/>
      <c r="BN432" s="13"/>
      <c r="BO432" s="13"/>
      <c r="BP432" s="13"/>
    </row>
    <row r="433" spans="16:68" s="18" customFormat="1" x14ac:dyDescent="0.2">
      <c r="P433" s="17"/>
      <c r="Q433" s="102"/>
      <c r="R433" s="128"/>
      <c r="S433" s="130"/>
      <c r="T433" s="165"/>
      <c r="U433" s="130"/>
      <c r="V433" s="130"/>
      <c r="W433" s="130"/>
      <c r="X433" s="130"/>
      <c r="Y433" s="130"/>
      <c r="Z433" s="130"/>
      <c r="AA433" s="130"/>
      <c r="AB433" s="130"/>
      <c r="AC433" s="130"/>
      <c r="AD433" s="130"/>
      <c r="AE433" s="130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23"/>
      <c r="AR433" s="23"/>
      <c r="AS433" s="23"/>
      <c r="AT433" s="23"/>
      <c r="AU433" s="23"/>
      <c r="AV433" s="23"/>
      <c r="AW433" s="23"/>
      <c r="AX433" s="13"/>
      <c r="AY433" s="13"/>
      <c r="AZ433" s="13"/>
      <c r="BA433" s="13"/>
      <c r="BB433" s="13"/>
      <c r="BC433" s="13"/>
      <c r="BD433" s="13"/>
      <c r="BE433" s="13"/>
      <c r="BF433" s="13"/>
      <c r="BG433" s="13"/>
      <c r="BH433" s="13"/>
      <c r="BI433" s="13"/>
      <c r="BJ433" s="13"/>
      <c r="BK433" s="13"/>
      <c r="BL433" s="13"/>
      <c r="BM433" s="13"/>
      <c r="BN433" s="13"/>
      <c r="BO433" s="13"/>
      <c r="BP433" s="13"/>
    </row>
    <row r="434" spans="16:68" s="18" customFormat="1" x14ac:dyDescent="0.2">
      <c r="P434" s="17"/>
      <c r="Q434" s="102"/>
      <c r="R434" s="128"/>
      <c r="S434" s="130"/>
      <c r="T434" s="165"/>
      <c r="U434" s="130"/>
      <c r="V434" s="130"/>
      <c r="W434" s="130"/>
      <c r="X434" s="130"/>
      <c r="Y434" s="130"/>
      <c r="Z434" s="130"/>
      <c r="AA434" s="130"/>
      <c r="AB434" s="130"/>
      <c r="AC434" s="130"/>
      <c r="AD434" s="130"/>
      <c r="AE434" s="130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23"/>
      <c r="AR434" s="23"/>
      <c r="AS434" s="23"/>
      <c r="AT434" s="23"/>
      <c r="AU434" s="23"/>
      <c r="AV434" s="23"/>
      <c r="AW434" s="23"/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/>
      <c r="BM434" s="13"/>
      <c r="BN434" s="13"/>
      <c r="BO434" s="13"/>
      <c r="BP434" s="13"/>
    </row>
    <row r="435" spans="16:68" s="18" customFormat="1" x14ac:dyDescent="0.2">
      <c r="P435" s="17"/>
      <c r="Q435" s="102"/>
      <c r="R435" s="128"/>
      <c r="S435" s="130"/>
      <c r="T435" s="165"/>
      <c r="U435" s="130"/>
      <c r="V435" s="130"/>
      <c r="W435" s="130"/>
      <c r="X435" s="130"/>
      <c r="Y435" s="130"/>
      <c r="Z435" s="130"/>
      <c r="AA435" s="130"/>
      <c r="AB435" s="130"/>
      <c r="AC435" s="130"/>
      <c r="AD435" s="130"/>
      <c r="AE435" s="130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23"/>
      <c r="AR435" s="23"/>
      <c r="AS435" s="23"/>
      <c r="AT435" s="23"/>
      <c r="AU435" s="23"/>
      <c r="AV435" s="23"/>
      <c r="AW435" s="2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</row>
    <row r="436" spans="16:68" s="18" customFormat="1" x14ac:dyDescent="0.2">
      <c r="P436" s="17"/>
      <c r="Q436" s="102"/>
      <c r="R436" s="128"/>
      <c r="S436" s="130"/>
      <c r="T436" s="165"/>
      <c r="U436" s="130"/>
      <c r="V436" s="130"/>
      <c r="W436" s="130"/>
      <c r="X436" s="130"/>
      <c r="Y436" s="130"/>
      <c r="Z436" s="130"/>
      <c r="AA436" s="130"/>
      <c r="AB436" s="130"/>
      <c r="AC436" s="130"/>
      <c r="AD436" s="130"/>
      <c r="AE436" s="130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23"/>
      <c r="AR436" s="23"/>
      <c r="AS436" s="23"/>
      <c r="AT436" s="23"/>
      <c r="AU436" s="23"/>
      <c r="AV436" s="23"/>
      <c r="AW436" s="2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</row>
    <row r="437" spans="16:68" s="18" customFormat="1" x14ac:dyDescent="0.2">
      <c r="P437" s="17"/>
      <c r="Q437" s="102"/>
      <c r="R437" s="128"/>
      <c r="S437" s="130"/>
      <c r="T437" s="165"/>
      <c r="U437" s="130"/>
      <c r="V437" s="130"/>
      <c r="W437" s="130"/>
      <c r="X437" s="130"/>
      <c r="Y437" s="130"/>
      <c r="Z437" s="130"/>
      <c r="AA437" s="130"/>
      <c r="AB437" s="130"/>
      <c r="AC437" s="130"/>
      <c r="AD437" s="130"/>
      <c r="AE437" s="130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23"/>
      <c r="AR437" s="23"/>
      <c r="AS437" s="23"/>
      <c r="AT437" s="23"/>
      <c r="AU437" s="23"/>
      <c r="AV437" s="23"/>
      <c r="AW437" s="2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</row>
    <row r="438" spans="16:68" s="18" customFormat="1" x14ac:dyDescent="0.2">
      <c r="P438" s="17"/>
      <c r="Q438" s="102"/>
      <c r="R438" s="128"/>
      <c r="S438" s="130"/>
      <c r="T438" s="165"/>
      <c r="U438" s="130"/>
      <c r="V438" s="130"/>
      <c r="W438" s="130"/>
      <c r="X438" s="130"/>
      <c r="Y438" s="130"/>
      <c r="Z438" s="130"/>
      <c r="AA438" s="130"/>
      <c r="AB438" s="130"/>
      <c r="AC438" s="130"/>
      <c r="AD438" s="130"/>
      <c r="AE438" s="130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23"/>
      <c r="AR438" s="23"/>
      <c r="AS438" s="23"/>
      <c r="AT438" s="23"/>
      <c r="AU438" s="23"/>
      <c r="AV438" s="23"/>
      <c r="AW438" s="23"/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/>
      <c r="BM438" s="13"/>
      <c r="BN438" s="13"/>
      <c r="BO438" s="13"/>
      <c r="BP438" s="13"/>
    </row>
    <row r="439" spans="16:68" s="18" customFormat="1" x14ac:dyDescent="0.2">
      <c r="P439" s="17"/>
      <c r="Q439" s="102"/>
      <c r="R439" s="128"/>
      <c r="S439" s="130"/>
      <c r="T439" s="165"/>
      <c r="U439" s="130"/>
      <c r="V439" s="130"/>
      <c r="W439" s="130"/>
      <c r="X439" s="130"/>
      <c r="Y439" s="130"/>
      <c r="Z439" s="130"/>
      <c r="AA439" s="130"/>
      <c r="AB439" s="130"/>
      <c r="AC439" s="130"/>
      <c r="AD439" s="130"/>
      <c r="AE439" s="130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23"/>
      <c r="AR439" s="23"/>
      <c r="AS439" s="23"/>
      <c r="AT439" s="23"/>
      <c r="AU439" s="23"/>
      <c r="AV439" s="23"/>
      <c r="AW439" s="2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/>
      <c r="BM439" s="13"/>
      <c r="BN439" s="13"/>
      <c r="BO439" s="13"/>
      <c r="BP439" s="13"/>
    </row>
    <row r="440" spans="16:68" s="18" customFormat="1" x14ac:dyDescent="0.2">
      <c r="P440" s="17"/>
      <c r="Q440" s="102"/>
      <c r="R440" s="128"/>
      <c r="S440" s="130"/>
      <c r="T440" s="165"/>
      <c r="U440" s="130"/>
      <c r="V440" s="130"/>
      <c r="W440" s="130"/>
      <c r="X440" s="130"/>
      <c r="Y440" s="130"/>
      <c r="Z440" s="130"/>
      <c r="AA440" s="130"/>
      <c r="AB440" s="130"/>
      <c r="AC440" s="130"/>
      <c r="AD440" s="130"/>
      <c r="AE440" s="130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23"/>
      <c r="AR440" s="23"/>
      <c r="AS440" s="23"/>
      <c r="AT440" s="23"/>
      <c r="AU440" s="23"/>
      <c r="AV440" s="23"/>
      <c r="AW440" s="2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</row>
    <row r="441" spans="16:68" s="18" customFormat="1" x14ac:dyDescent="0.2">
      <c r="P441" s="17"/>
      <c r="Q441" s="102"/>
      <c r="R441" s="128"/>
      <c r="S441" s="130"/>
      <c r="T441" s="165"/>
      <c r="U441" s="130"/>
      <c r="V441" s="130"/>
      <c r="W441" s="130"/>
      <c r="X441" s="130"/>
      <c r="Y441" s="130"/>
      <c r="Z441" s="130"/>
      <c r="AA441" s="130"/>
      <c r="AB441" s="130"/>
      <c r="AC441" s="130"/>
      <c r="AD441" s="130"/>
      <c r="AE441" s="130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23"/>
      <c r="AR441" s="23"/>
      <c r="AS441" s="23"/>
      <c r="AT441" s="23"/>
      <c r="AU441" s="23"/>
      <c r="AV441" s="23"/>
      <c r="AW441" s="2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/>
      <c r="BM441" s="13"/>
      <c r="BN441" s="13"/>
      <c r="BO441" s="13"/>
      <c r="BP441" s="13"/>
    </row>
    <row r="442" spans="16:68" s="18" customFormat="1" x14ac:dyDescent="0.2">
      <c r="P442" s="17"/>
      <c r="Q442" s="102"/>
      <c r="R442" s="128"/>
      <c r="S442" s="130"/>
      <c r="T442" s="165"/>
      <c r="U442" s="130"/>
      <c r="V442" s="130"/>
      <c r="W442" s="130"/>
      <c r="X442" s="130"/>
      <c r="Y442" s="130"/>
      <c r="Z442" s="130"/>
      <c r="AA442" s="130"/>
      <c r="AB442" s="130"/>
      <c r="AC442" s="130"/>
      <c r="AD442" s="130"/>
      <c r="AE442" s="130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23"/>
      <c r="AR442" s="23"/>
      <c r="AS442" s="23"/>
      <c r="AT442" s="23"/>
      <c r="AU442" s="23"/>
      <c r="AV442" s="23"/>
      <c r="AW442" s="23"/>
      <c r="AX442" s="13"/>
      <c r="AY442" s="13"/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/>
      <c r="BM442" s="13"/>
      <c r="BN442" s="13"/>
      <c r="BO442" s="13"/>
      <c r="BP442" s="13"/>
    </row>
    <row r="443" spans="16:68" s="18" customFormat="1" x14ac:dyDescent="0.2">
      <c r="P443" s="17"/>
      <c r="Q443" s="102"/>
      <c r="R443" s="128"/>
      <c r="S443" s="130"/>
      <c r="T443" s="165"/>
      <c r="U443" s="130"/>
      <c r="V443" s="130"/>
      <c r="W443" s="130"/>
      <c r="X443" s="130"/>
      <c r="Y443" s="130"/>
      <c r="Z443" s="130"/>
      <c r="AA443" s="130"/>
      <c r="AB443" s="130"/>
      <c r="AC443" s="130"/>
      <c r="AD443" s="130"/>
      <c r="AE443" s="130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23"/>
      <c r="AR443" s="23"/>
      <c r="AS443" s="23"/>
      <c r="AT443" s="23"/>
      <c r="AU443" s="23"/>
      <c r="AV443" s="23"/>
      <c r="AW443" s="23"/>
      <c r="AX443" s="13"/>
      <c r="AY443" s="13"/>
      <c r="AZ443" s="13"/>
      <c r="BA443" s="13"/>
      <c r="BB443" s="13"/>
      <c r="BC443" s="13"/>
      <c r="BD443" s="13"/>
      <c r="BE443" s="13"/>
      <c r="BF443" s="13"/>
      <c r="BG443" s="13"/>
      <c r="BH443" s="13"/>
      <c r="BI443" s="13"/>
      <c r="BJ443" s="13"/>
      <c r="BK443" s="13"/>
      <c r="BL443" s="13"/>
      <c r="BM443" s="13"/>
      <c r="BN443" s="13"/>
      <c r="BO443" s="13"/>
      <c r="BP443" s="13"/>
    </row>
    <row r="444" spans="16:68" s="18" customFormat="1" x14ac:dyDescent="0.2">
      <c r="P444" s="17"/>
      <c r="Q444" s="102"/>
      <c r="R444" s="128"/>
      <c r="S444" s="130"/>
      <c r="T444" s="165"/>
      <c r="U444" s="130"/>
      <c r="V444" s="130"/>
      <c r="W444" s="130"/>
      <c r="X444" s="130"/>
      <c r="Y444" s="130"/>
      <c r="Z444" s="130"/>
      <c r="AA444" s="130"/>
      <c r="AB444" s="130"/>
      <c r="AC444" s="130"/>
      <c r="AD444" s="130"/>
      <c r="AE444" s="130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23"/>
      <c r="AR444" s="23"/>
      <c r="AS444" s="23"/>
      <c r="AT444" s="23"/>
      <c r="AU444" s="23"/>
      <c r="AV444" s="23"/>
      <c r="AW444" s="2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</row>
    <row r="445" spans="16:68" s="18" customFormat="1" x14ac:dyDescent="0.2">
      <c r="P445" s="17"/>
      <c r="Q445" s="102"/>
      <c r="R445" s="128"/>
      <c r="S445" s="130"/>
      <c r="T445" s="165"/>
      <c r="U445" s="130"/>
      <c r="V445" s="130"/>
      <c r="W445" s="130"/>
      <c r="X445" s="130"/>
      <c r="Y445" s="130"/>
      <c r="Z445" s="130"/>
      <c r="AA445" s="130"/>
      <c r="AB445" s="130"/>
      <c r="AC445" s="130"/>
      <c r="AD445" s="130"/>
      <c r="AE445" s="130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23"/>
      <c r="AR445" s="23"/>
      <c r="AS445" s="23"/>
      <c r="AT445" s="23"/>
      <c r="AU445" s="23"/>
      <c r="AV445" s="23"/>
      <c r="AW445" s="23"/>
      <c r="AX445" s="13"/>
      <c r="AY445" s="13"/>
      <c r="AZ445" s="13"/>
      <c r="BA445" s="13"/>
      <c r="BB445" s="13"/>
      <c r="BC445" s="13"/>
      <c r="BD445" s="13"/>
      <c r="BE445" s="13"/>
      <c r="BF445" s="13"/>
      <c r="BG445" s="13"/>
      <c r="BH445" s="13"/>
      <c r="BI445" s="13"/>
      <c r="BJ445" s="13"/>
      <c r="BK445" s="13"/>
      <c r="BL445" s="13"/>
      <c r="BM445" s="13"/>
      <c r="BN445" s="13"/>
      <c r="BO445" s="13"/>
      <c r="BP445" s="13"/>
    </row>
    <row r="446" spans="16:68" s="18" customFormat="1" x14ac:dyDescent="0.2">
      <c r="P446" s="17"/>
      <c r="Q446" s="102"/>
      <c r="R446" s="128"/>
      <c r="S446" s="130"/>
      <c r="T446" s="165"/>
      <c r="U446" s="130"/>
      <c r="V446" s="130"/>
      <c r="W446" s="130"/>
      <c r="X446" s="130"/>
      <c r="Y446" s="130"/>
      <c r="Z446" s="130"/>
      <c r="AA446" s="130"/>
      <c r="AB446" s="130"/>
      <c r="AC446" s="130"/>
      <c r="AD446" s="130"/>
      <c r="AE446" s="130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23"/>
      <c r="AR446" s="23"/>
      <c r="AS446" s="23"/>
      <c r="AT446" s="23"/>
      <c r="AU446" s="23"/>
      <c r="AV446" s="23"/>
      <c r="AW446" s="23"/>
      <c r="AX446" s="13"/>
      <c r="AY446" s="13"/>
      <c r="AZ446" s="13"/>
      <c r="BA446" s="13"/>
      <c r="BB446" s="13"/>
      <c r="BC446" s="13"/>
      <c r="BD446" s="13"/>
      <c r="BE446" s="13"/>
      <c r="BF446" s="13"/>
      <c r="BG446" s="13"/>
      <c r="BH446" s="13"/>
      <c r="BI446" s="13"/>
      <c r="BJ446" s="13"/>
      <c r="BK446" s="13"/>
      <c r="BL446" s="13"/>
      <c r="BM446" s="13"/>
      <c r="BN446" s="13"/>
      <c r="BO446" s="13"/>
      <c r="BP446" s="13"/>
    </row>
    <row r="447" spans="16:68" s="18" customFormat="1" x14ac:dyDescent="0.2">
      <c r="P447" s="17"/>
      <c r="Q447" s="102"/>
      <c r="R447" s="128"/>
      <c r="S447" s="130"/>
      <c r="T447" s="165"/>
      <c r="U447" s="130"/>
      <c r="V447" s="130"/>
      <c r="W447" s="130"/>
      <c r="X447" s="130"/>
      <c r="Y447" s="130"/>
      <c r="Z447" s="130"/>
      <c r="AA447" s="130"/>
      <c r="AB447" s="130"/>
      <c r="AC447" s="130"/>
      <c r="AD447" s="130"/>
      <c r="AE447" s="130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23"/>
      <c r="AR447" s="23"/>
      <c r="AS447" s="23"/>
      <c r="AT447" s="23"/>
      <c r="AU447" s="23"/>
      <c r="AV447" s="23"/>
      <c r="AW447" s="2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/>
      <c r="BM447" s="13"/>
      <c r="BN447" s="13"/>
      <c r="BO447" s="13"/>
      <c r="BP447" s="13"/>
    </row>
    <row r="448" spans="16:68" s="18" customFormat="1" x14ac:dyDescent="0.2">
      <c r="P448" s="17"/>
      <c r="Q448" s="102"/>
      <c r="R448" s="128"/>
      <c r="S448" s="130"/>
      <c r="T448" s="165"/>
      <c r="U448" s="130"/>
      <c r="V448" s="130"/>
      <c r="W448" s="130"/>
      <c r="X448" s="130"/>
      <c r="Y448" s="130"/>
      <c r="Z448" s="130"/>
      <c r="AA448" s="130"/>
      <c r="AB448" s="130"/>
      <c r="AC448" s="130"/>
      <c r="AD448" s="130"/>
      <c r="AE448" s="130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23"/>
      <c r="AR448" s="23"/>
      <c r="AS448" s="23"/>
      <c r="AT448" s="23"/>
      <c r="AU448" s="23"/>
      <c r="AV448" s="23"/>
      <c r="AW448" s="2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</row>
    <row r="449" spans="16:68" s="18" customFormat="1" x14ac:dyDescent="0.2">
      <c r="P449" s="17"/>
      <c r="Q449" s="102"/>
      <c r="R449" s="128"/>
      <c r="S449" s="130"/>
      <c r="T449" s="165"/>
      <c r="U449" s="130"/>
      <c r="V449" s="130"/>
      <c r="W449" s="130"/>
      <c r="X449" s="130"/>
      <c r="Y449" s="130"/>
      <c r="Z449" s="130"/>
      <c r="AA449" s="130"/>
      <c r="AB449" s="130"/>
      <c r="AC449" s="130"/>
      <c r="AD449" s="130"/>
      <c r="AE449" s="130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23"/>
      <c r="AR449" s="23"/>
      <c r="AS449" s="23"/>
      <c r="AT449" s="23"/>
      <c r="AU449" s="23"/>
      <c r="AV449" s="23"/>
      <c r="AW449" s="2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</row>
    <row r="450" spans="16:68" s="18" customFormat="1" x14ac:dyDescent="0.2">
      <c r="P450" s="17"/>
      <c r="Q450" s="102"/>
      <c r="R450" s="128"/>
      <c r="S450" s="130"/>
      <c r="T450" s="165"/>
      <c r="U450" s="130"/>
      <c r="V450" s="130"/>
      <c r="W450" s="130"/>
      <c r="X450" s="130"/>
      <c r="Y450" s="130"/>
      <c r="Z450" s="130"/>
      <c r="AA450" s="130"/>
      <c r="AB450" s="130"/>
      <c r="AC450" s="130"/>
      <c r="AD450" s="130"/>
      <c r="AE450" s="130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23"/>
      <c r="AR450" s="23"/>
      <c r="AS450" s="23"/>
      <c r="AT450" s="23"/>
      <c r="AU450" s="23"/>
      <c r="AV450" s="23"/>
      <c r="AW450" s="2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</row>
    <row r="451" spans="16:68" s="18" customFormat="1" x14ac:dyDescent="0.2">
      <c r="P451" s="17"/>
      <c r="Q451" s="102"/>
      <c r="R451" s="128"/>
      <c r="S451" s="130"/>
      <c r="T451" s="165"/>
      <c r="U451" s="130"/>
      <c r="V451" s="130"/>
      <c r="W451" s="130"/>
      <c r="X451" s="130"/>
      <c r="Y451" s="130"/>
      <c r="Z451" s="130"/>
      <c r="AA451" s="130"/>
      <c r="AB451" s="130"/>
      <c r="AC451" s="130"/>
      <c r="AD451" s="130"/>
      <c r="AE451" s="130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23"/>
      <c r="AR451" s="23"/>
      <c r="AS451" s="23"/>
      <c r="AT451" s="23"/>
      <c r="AU451" s="23"/>
      <c r="AV451" s="23"/>
      <c r="AW451" s="2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</row>
    <row r="452" spans="16:68" s="18" customFormat="1" x14ac:dyDescent="0.2">
      <c r="P452" s="17"/>
      <c r="Q452" s="102"/>
      <c r="R452" s="128"/>
      <c r="S452" s="130"/>
      <c r="T452" s="165"/>
      <c r="U452" s="130"/>
      <c r="V452" s="130"/>
      <c r="W452" s="130"/>
      <c r="X452" s="130"/>
      <c r="Y452" s="130"/>
      <c r="Z452" s="130"/>
      <c r="AA452" s="130"/>
      <c r="AB452" s="130"/>
      <c r="AC452" s="130"/>
      <c r="AD452" s="130"/>
      <c r="AE452" s="130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23"/>
      <c r="AR452" s="23"/>
      <c r="AS452" s="23"/>
      <c r="AT452" s="23"/>
      <c r="AU452" s="23"/>
      <c r="AV452" s="23"/>
      <c r="AW452" s="2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</row>
    <row r="453" spans="16:68" s="18" customFormat="1" x14ac:dyDescent="0.2">
      <c r="P453" s="17"/>
      <c r="Q453" s="102"/>
      <c r="R453" s="128"/>
      <c r="S453" s="130"/>
      <c r="T453" s="165"/>
      <c r="U453" s="130"/>
      <c r="V453" s="130"/>
      <c r="W453" s="130"/>
      <c r="X453" s="130"/>
      <c r="Y453" s="130"/>
      <c r="Z453" s="130"/>
      <c r="AA453" s="130"/>
      <c r="AB453" s="130"/>
      <c r="AC453" s="130"/>
      <c r="AD453" s="130"/>
      <c r="AE453" s="130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23"/>
      <c r="AR453" s="23"/>
      <c r="AS453" s="23"/>
      <c r="AT453" s="23"/>
      <c r="AU453" s="23"/>
      <c r="AV453" s="23"/>
      <c r="AW453" s="2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</row>
    <row r="454" spans="16:68" s="18" customFormat="1" x14ac:dyDescent="0.2">
      <c r="P454" s="17"/>
      <c r="Q454" s="102"/>
      <c r="R454" s="128"/>
      <c r="S454" s="130"/>
      <c r="T454" s="165"/>
      <c r="U454" s="130"/>
      <c r="V454" s="130"/>
      <c r="W454" s="130"/>
      <c r="X454" s="130"/>
      <c r="Y454" s="130"/>
      <c r="Z454" s="130"/>
      <c r="AA454" s="130"/>
      <c r="AB454" s="130"/>
      <c r="AC454" s="130"/>
      <c r="AD454" s="130"/>
      <c r="AE454" s="130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23"/>
      <c r="AR454" s="23"/>
      <c r="AS454" s="23"/>
      <c r="AT454" s="23"/>
      <c r="AU454" s="23"/>
      <c r="AV454" s="23"/>
      <c r="AW454" s="2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</row>
    <row r="455" spans="16:68" s="18" customFormat="1" x14ac:dyDescent="0.2">
      <c r="P455" s="17"/>
      <c r="Q455" s="102"/>
      <c r="R455" s="128"/>
      <c r="S455" s="130"/>
      <c r="T455" s="165"/>
      <c r="U455" s="130"/>
      <c r="V455" s="130"/>
      <c r="W455" s="130"/>
      <c r="X455" s="130"/>
      <c r="Y455" s="130"/>
      <c r="Z455" s="130"/>
      <c r="AA455" s="130"/>
      <c r="AB455" s="130"/>
      <c r="AC455" s="130"/>
      <c r="AD455" s="130"/>
      <c r="AE455" s="130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23"/>
      <c r="AR455" s="23"/>
      <c r="AS455" s="23"/>
      <c r="AT455" s="23"/>
      <c r="AU455" s="23"/>
      <c r="AV455" s="23"/>
      <c r="AW455" s="2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</row>
    <row r="456" spans="16:68" s="18" customFormat="1" x14ac:dyDescent="0.2">
      <c r="P456" s="17"/>
      <c r="Q456" s="102"/>
      <c r="R456" s="128"/>
      <c r="S456" s="130"/>
      <c r="T456" s="165"/>
      <c r="U456" s="130"/>
      <c r="V456" s="130"/>
      <c r="W456" s="130"/>
      <c r="X456" s="130"/>
      <c r="Y456" s="130"/>
      <c r="Z456" s="130"/>
      <c r="AA456" s="130"/>
      <c r="AB456" s="130"/>
      <c r="AC456" s="130"/>
      <c r="AD456" s="130"/>
      <c r="AE456" s="130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23"/>
      <c r="AR456" s="23"/>
      <c r="AS456" s="23"/>
      <c r="AT456" s="23"/>
      <c r="AU456" s="23"/>
      <c r="AV456" s="23"/>
      <c r="AW456" s="2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</row>
    <row r="457" spans="16:68" s="18" customFormat="1" x14ac:dyDescent="0.2">
      <c r="P457" s="17"/>
      <c r="Q457" s="102"/>
      <c r="R457" s="128"/>
      <c r="S457" s="130"/>
      <c r="T457" s="165"/>
      <c r="U457" s="130"/>
      <c r="V457" s="130"/>
      <c r="W457" s="130"/>
      <c r="X457" s="130"/>
      <c r="Y457" s="130"/>
      <c r="Z457" s="130"/>
      <c r="AA457" s="130"/>
      <c r="AB457" s="130"/>
      <c r="AC457" s="130"/>
      <c r="AD457" s="130"/>
      <c r="AE457" s="130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23"/>
      <c r="AR457" s="23"/>
      <c r="AS457" s="23"/>
      <c r="AT457" s="23"/>
      <c r="AU457" s="23"/>
      <c r="AV457" s="23"/>
      <c r="AW457" s="2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</row>
    <row r="458" spans="16:68" s="18" customFormat="1" x14ac:dyDescent="0.2">
      <c r="P458" s="17"/>
      <c r="Q458" s="102"/>
      <c r="R458" s="128"/>
      <c r="S458" s="130"/>
      <c r="T458" s="165"/>
      <c r="U458" s="130"/>
      <c r="V458" s="130"/>
      <c r="W458" s="130"/>
      <c r="X458" s="130"/>
      <c r="Y458" s="130"/>
      <c r="Z458" s="130"/>
      <c r="AA458" s="130"/>
      <c r="AB458" s="130"/>
      <c r="AC458" s="130"/>
      <c r="AD458" s="130"/>
      <c r="AE458" s="130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23"/>
      <c r="AR458" s="23"/>
      <c r="AS458" s="23"/>
      <c r="AT458" s="23"/>
      <c r="AU458" s="23"/>
      <c r="AV458" s="23"/>
      <c r="AW458" s="2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</row>
    <row r="459" spans="16:68" s="18" customFormat="1" x14ac:dyDescent="0.2">
      <c r="P459" s="17"/>
      <c r="Q459" s="102"/>
      <c r="R459" s="128"/>
      <c r="S459" s="130"/>
      <c r="T459" s="165"/>
      <c r="U459" s="130"/>
      <c r="V459" s="130"/>
      <c r="W459" s="130"/>
      <c r="X459" s="130"/>
      <c r="Y459" s="130"/>
      <c r="Z459" s="130"/>
      <c r="AA459" s="130"/>
      <c r="AB459" s="130"/>
      <c r="AC459" s="130"/>
      <c r="AD459" s="130"/>
      <c r="AE459" s="130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23"/>
      <c r="AR459" s="23"/>
      <c r="AS459" s="23"/>
      <c r="AT459" s="23"/>
      <c r="AU459" s="23"/>
      <c r="AV459" s="23"/>
      <c r="AW459" s="2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</row>
    <row r="460" spans="16:68" s="18" customFormat="1" x14ac:dyDescent="0.2">
      <c r="P460" s="17"/>
      <c r="Q460" s="102"/>
      <c r="R460" s="128"/>
      <c r="S460" s="130"/>
      <c r="T460" s="165"/>
      <c r="U460" s="130"/>
      <c r="V460" s="130"/>
      <c r="W460" s="130"/>
      <c r="X460" s="130"/>
      <c r="Y460" s="130"/>
      <c r="Z460" s="130"/>
      <c r="AA460" s="130"/>
      <c r="AB460" s="130"/>
      <c r="AC460" s="130"/>
      <c r="AD460" s="130"/>
      <c r="AE460" s="130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23"/>
      <c r="AR460" s="23"/>
      <c r="AS460" s="23"/>
      <c r="AT460" s="23"/>
      <c r="AU460" s="23"/>
      <c r="AV460" s="23"/>
      <c r="AW460" s="2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</row>
    <row r="461" spans="16:68" s="18" customFormat="1" x14ac:dyDescent="0.2">
      <c r="P461" s="17"/>
      <c r="Q461" s="102"/>
      <c r="R461" s="128"/>
      <c r="S461" s="130"/>
      <c r="T461" s="165"/>
      <c r="U461" s="130"/>
      <c r="V461" s="130"/>
      <c r="W461" s="130"/>
      <c r="X461" s="130"/>
      <c r="Y461" s="130"/>
      <c r="Z461" s="130"/>
      <c r="AA461" s="130"/>
      <c r="AB461" s="130"/>
      <c r="AC461" s="130"/>
      <c r="AD461" s="130"/>
      <c r="AE461" s="130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23"/>
      <c r="AR461" s="23"/>
      <c r="AS461" s="23"/>
      <c r="AT461" s="23"/>
      <c r="AU461" s="23"/>
      <c r="AV461" s="23"/>
      <c r="AW461" s="2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</row>
    <row r="462" spans="16:68" s="18" customFormat="1" x14ac:dyDescent="0.2">
      <c r="P462" s="17"/>
      <c r="Q462" s="102"/>
      <c r="R462" s="128"/>
      <c r="S462" s="130"/>
      <c r="T462" s="165"/>
      <c r="U462" s="130"/>
      <c r="V462" s="130"/>
      <c r="W462" s="130"/>
      <c r="X462" s="130"/>
      <c r="Y462" s="130"/>
      <c r="Z462" s="130"/>
      <c r="AA462" s="130"/>
      <c r="AB462" s="130"/>
      <c r="AC462" s="130"/>
      <c r="AD462" s="130"/>
      <c r="AE462" s="130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23"/>
      <c r="AR462" s="23"/>
      <c r="AS462" s="23"/>
      <c r="AT462" s="23"/>
      <c r="AU462" s="23"/>
      <c r="AV462" s="23"/>
      <c r="AW462" s="2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</row>
    <row r="463" spans="16:68" s="18" customFormat="1" x14ac:dyDescent="0.2">
      <c r="P463" s="17"/>
      <c r="Q463" s="102"/>
      <c r="R463" s="128"/>
      <c r="S463" s="130"/>
      <c r="T463" s="165"/>
      <c r="U463" s="130"/>
      <c r="V463" s="130"/>
      <c r="W463" s="130"/>
      <c r="X463" s="130"/>
      <c r="Y463" s="130"/>
      <c r="Z463" s="130"/>
      <c r="AA463" s="130"/>
      <c r="AB463" s="130"/>
      <c r="AC463" s="130"/>
      <c r="AD463" s="130"/>
      <c r="AE463" s="130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23"/>
      <c r="AR463" s="23"/>
      <c r="AS463" s="23"/>
      <c r="AT463" s="23"/>
      <c r="AU463" s="23"/>
      <c r="AV463" s="23"/>
      <c r="AW463" s="2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</row>
    <row r="464" spans="16:68" s="18" customFormat="1" x14ac:dyDescent="0.2">
      <c r="P464" s="17"/>
      <c r="Q464" s="102"/>
      <c r="R464" s="128"/>
      <c r="S464" s="130"/>
      <c r="T464" s="165"/>
      <c r="U464" s="130"/>
      <c r="V464" s="130"/>
      <c r="W464" s="130"/>
      <c r="X464" s="130"/>
      <c r="Y464" s="130"/>
      <c r="Z464" s="130"/>
      <c r="AA464" s="130"/>
      <c r="AB464" s="130"/>
      <c r="AC464" s="130"/>
      <c r="AD464" s="130"/>
      <c r="AE464" s="130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23"/>
      <c r="AR464" s="23"/>
      <c r="AS464" s="23"/>
      <c r="AT464" s="23"/>
      <c r="AU464" s="23"/>
      <c r="AV464" s="23"/>
      <c r="AW464" s="2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</row>
    <row r="465" spans="16:100" s="18" customFormat="1" x14ac:dyDescent="0.2">
      <c r="P465" s="17"/>
      <c r="Q465" s="102"/>
      <c r="R465" s="128"/>
      <c r="S465" s="130"/>
      <c r="T465" s="165"/>
      <c r="U465" s="130"/>
      <c r="V465" s="130"/>
      <c r="W465" s="130"/>
      <c r="X465" s="130"/>
      <c r="Y465" s="130"/>
      <c r="Z465" s="130"/>
      <c r="AA465" s="130"/>
      <c r="AB465" s="130"/>
      <c r="AC465" s="130"/>
      <c r="AD465" s="130"/>
      <c r="AE465" s="130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23"/>
      <c r="AR465" s="23"/>
      <c r="AS465" s="23"/>
      <c r="AT465" s="23"/>
      <c r="AU465" s="23"/>
      <c r="AV465" s="23"/>
      <c r="AW465" s="2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</row>
    <row r="466" spans="16:100" s="18" customFormat="1" x14ac:dyDescent="0.2">
      <c r="P466" s="17"/>
      <c r="Q466" s="102"/>
      <c r="R466" s="128"/>
      <c r="S466" s="130"/>
      <c r="T466" s="165"/>
      <c r="U466" s="130"/>
      <c r="V466" s="130"/>
      <c r="W466" s="130"/>
      <c r="X466" s="130"/>
      <c r="Y466" s="130"/>
      <c r="Z466" s="130"/>
      <c r="AA466" s="130"/>
      <c r="AB466" s="130"/>
      <c r="AC466" s="130"/>
      <c r="AD466" s="130"/>
      <c r="AE466" s="130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23"/>
      <c r="AR466" s="23"/>
      <c r="AS466" s="23"/>
      <c r="AT466" s="23"/>
      <c r="AU466" s="23"/>
      <c r="AV466" s="23"/>
      <c r="AW466" s="2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</row>
    <row r="467" spans="16:100" s="18" customFormat="1" x14ac:dyDescent="0.2">
      <c r="P467" s="17"/>
      <c r="Q467" s="102"/>
      <c r="R467" s="128"/>
      <c r="S467" s="130"/>
      <c r="T467" s="165"/>
      <c r="U467" s="130"/>
      <c r="V467" s="130"/>
      <c r="W467" s="130"/>
      <c r="X467" s="130"/>
      <c r="Y467" s="130"/>
      <c r="Z467" s="130"/>
      <c r="AA467" s="130"/>
      <c r="AB467" s="130"/>
      <c r="AC467" s="130"/>
      <c r="AD467" s="130"/>
      <c r="AE467" s="130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23"/>
      <c r="AR467" s="23"/>
      <c r="AS467" s="23"/>
      <c r="AT467" s="23"/>
      <c r="AU467" s="23"/>
      <c r="AV467" s="23"/>
      <c r="AW467" s="2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</row>
    <row r="468" spans="16:100" s="18" customFormat="1" x14ac:dyDescent="0.2">
      <c r="P468" s="17"/>
      <c r="Q468" s="102"/>
      <c r="R468" s="128"/>
      <c r="S468" s="130"/>
      <c r="T468" s="165"/>
      <c r="U468" s="130"/>
      <c r="V468" s="130"/>
      <c r="W468" s="130"/>
      <c r="X468" s="130"/>
      <c r="Y468" s="130"/>
      <c r="Z468" s="130"/>
      <c r="AA468" s="130"/>
      <c r="AB468" s="130"/>
      <c r="AC468" s="130"/>
      <c r="AD468" s="130"/>
      <c r="AE468" s="130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23"/>
      <c r="AR468" s="23"/>
      <c r="AS468" s="23"/>
      <c r="AT468" s="23"/>
      <c r="AU468" s="23"/>
      <c r="AV468" s="23"/>
      <c r="AW468" s="2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</row>
    <row r="469" spans="16:100" s="18" customFormat="1" x14ac:dyDescent="0.2">
      <c r="P469" s="17"/>
      <c r="Q469" s="102"/>
      <c r="R469" s="128"/>
      <c r="S469" s="130"/>
      <c r="T469" s="165"/>
      <c r="U469" s="130"/>
      <c r="V469" s="130"/>
      <c r="W469" s="130"/>
      <c r="X469" s="130"/>
      <c r="Y469" s="130"/>
      <c r="Z469" s="130"/>
      <c r="AA469" s="130"/>
      <c r="AB469" s="130"/>
      <c r="AC469" s="130"/>
      <c r="AD469" s="130"/>
      <c r="AE469" s="130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23"/>
      <c r="AR469" s="23"/>
      <c r="AS469" s="23"/>
      <c r="AT469" s="23"/>
      <c r="AU469" s="23"/>
      <c r="AV469" s="23"/>
      <c r="AW469" s="2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</row>
    <row r="470" spans="16:100" s="18" customFormat="1" x14ac:dyDescent="0.2">
      <c r="P470" s="17"/>
      <c r="Q470" s="102"/>
      <c r="R470" s="128"/>
      <c r="S470" s="130"/>
      <c r="T470" s="165"/>
      <c r="U470" s="130"/>
      <c r="V470" s="130"/>
      <c r="W470" s="130"/>
      <c r="X470" s="130"/>
      <c r="Y470" s="130"/>
      <c r="Z470" s="130"/>
      <c r="AA470" s="130"/>
      <c r="AB470" s="130"/>
      <c r="AC470" s="130"/>
      <c r="AD470" s="130"/>
      <c r="AE470" s="130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23"/>
      <c r="AR470" s="23"/>
      <c r="AS470" s="23"/>
      <c r="AT470" s="23"/>
      <c r="AU470" s="23"/>
      <c r="AV470" s="23"/>
      <c r="AW470" s="2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</row>
    <row r="471" spans="16:100" s="18" customFormat="1" x14ac:dyDescent="0.2">
      <c r="P471" s="17"/>
      <c r="Q471" s="102"/>
      <c r="R471" s="128"/>
      <c r="S471" s="130"/>
      <c r="T471" s="165"/>
      <c r="U471" s="130"/>
      <c r="V471" s="130"/>
      <c r="W471" s="130"/>
      <c r="X471" s="130"/>
      <c r="Y471" s="130"/>
      <c r="Z471" s="130"/>
      <c r="AA471" s="130"/>
      <c r="AB471" s="130"/>
      <c r="AC471" s="130"/>
      <c r="AD471" s="130"/>
      <c r="AE471" s="130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23"/>
      <c r="AR471" s="23"/>
      <c r="AS471" s="23"/>
      <c r="AT471" s="23"/>
      <c r="AU471" s="23"/>
      <c r="AV471" s="23"/>
      <c r="AW471" s="2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</row>
    <row r="472" spans="16:100" s="18" customFormat="1" x14ac:dyDescent="0.2">
      <c r="P472" s="17"/>
      <c r="Q472" s="102"/>
      <c r="R472" s="128"/>
      <c r="S472" s="130"/>
      <c r="T472" s="165"/>
      <c r="U472" s="130"/>
      <c r="V472" s="130"/>
      <c r="W472" s="130"/>
      <c r="X472" s="130"/>
      <c r="Y472" s="130"/>
      <c r="Z472" s="130"/>
      <c r="AA472" s="130"/>
      <c r="AB472" s="130"/>
      <c r="AC472" s="130"/>
      <c r="AD472" s="130"/>
      <c r="AE472" s="130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23"/>
      <c r="AR472" s="23"/>
      <c r="AS472" s="23"/>
      <c r="AT472" s="23"/>
      <c r="AU472" s="23"/>
      <c r="AV472" s="23"/>
      <c r="AW472" s="2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</row>
  </sheetData>
  <sheetProtection selectLockedCells="1"/>
  <mergeCells count="4">
    <mergeCell ref="CF13:CI13"/>
    <mergeCell ref="A12:C12"/>
    <mergeCell ref="I18:J18"/>
    <mergeCell ref="A19:C19"/>
  </mergeCells>
  <phoneticPr fontId="2" type="noConversion"/>
  <conditionalFormatting sqref="A21">
    <cfRule type="cellIs" dxfId="4" priority="1" stopIfTrue="1" operator="equal">
      <formula>$A$45</formula>
    </cfRule>
  </conditionalFormatting>
  <conditionalFormatting sqref="A22">
    <cfRule type="cellIs" dxfId="3" priority="2" stopIfTrue="1" operator="equal">
      <formula>$A$43</formula>
    </cfRule>
  </conditionalFormatting>
  <conditionalFormatting sqref="A20">
    <cfRule type="cellIs" dxfId="2" priority="3" stopIfTrue="1" operator="equal">
      <formula>$A$44</formula>
    </cfRule>
    <cfRule type="cellIs" dxfId="1" priority="4" stopIfTrue="1" operator="equal">
      <formula>$A$43</formula>
    </cfRule>
  </conditionalFormatting>
  <conditionalFormatting sqref="C20:C21">
    <cfRule type="cellIs" dxfId="0" priority="5" stopIfTrue="1" operator="equal">
      <formula>$C$18</formula>
    </cfRule>
  </conditionalFormatting>
  <dataValidations count="3">
    <dataValidation type="list" allowBlank="1" showInputMessage="1" showErrorMessage="1" sqref="C65 K4 K13" xr:uid="{00000000-0002-0000-0100-000000000000}">
      <formula1>$C$52:$C$53</formula1>
    </dataValidation>
    <dataValidation type="list" allowBlank="1" showInputMessage="1" showErrorMessage="1" sqref="P12" xr:uid="{00000000-0002-0000-0100-000001000000}">
      <formula1>$A$46:$A$47</formula1>
    </dataValidation>
    <dataValidation type="list" allowBlank="1" showInputMessage="1" showErrorMessage="1" sqref="B18" xr:uid="{00000000-0002-0000-0100-000002000000}">
      <formula1>$R$5:$R$33</formula1>
    </dataValidation>
  </dataValidations>
  <printOptions horizontalCentered="1"/>
  <pageMargins left="0.23" right="0.18" top="0.41" bottom="0.44" header="0.17" footer="0.25"/>
  <pageSetup scale="85" orientation="landscape" r:id="rId1"/>
  <headerFooter alignWithMargins="0"/>
  <ignoredErrors>
    <ignoredError sqref="F46" evalErro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E1:I47"/>
  <sheetViews>
    <sheetView workbookViewId="0">
      <selection activeCell="I12" sqref="I12"/>
    </sheetView>
  </sheetViews>
  <sheetFormatPr defaultRowHeight="12.75" x14ac:dyDescent="0.2"/>
  <cols>
    <col min="5" max="5" width="25" customWidth="1"/>
    <col min="8" max="8" width="14.85546875" customWidth="1"/>
    <col min="9" max="9" width="9.140625" style="194"/>
  </cols>
  <sheetData>
    <row r="1" spans="5:9" x14ac:dyDescent="0.2">
      <c r="H1">
        <v>100</v>
      </c>
      <c r="I1" s="194">
        <f>1/(H1*17.82*0.000001)-17</f>
        <v>544.16722783389457</v>
      </c>
    </row>
    <row r="2" spans="5:9" x14ac:dyDescent="0.2">
      <c r="H2">
        <v>120</v>
      </c>
      <c r="I2" s="194">
        <f t="shared" ref="I2:I47" si="0">1/(H2*17.82*0.000001)-17</f>
        <v>450.63935652824546</v>
      </c>
    </row>
    <row r="3" spans="5:9" x14ac:dyDescent="0.2">
      <c r="E3" s="193" t="s">
        <v>191</v>
      </c>
      <c r="H3">
        <v>140</v>
      </c>
      <c r="I3" s="194">
        <f t="shared" si="0"/>
        <v>383.83373416706746</v>
      </c>
    </row>
    <row r="4" spans="5:9" x14ac:dyDescent="0.2">
      <c r="E4" s="193" t="s">
        <v>189</v>
      </c>
      <c r="H4">
        <v>160</v>
      </c>
      <c r="I4" s="194">
        <f t="shared" si="0"/>
        <v>333.72951739618412</v>
      </c>
    </row>
    <row r="5" spans="5:9" x14ac:dyDescent="0.2">
      <c r="H5">
        <v>180</v>
      </c>
      <c r="I5" s="194">
        <f t="shared" si="0"/>
        <v>294.75957101883029</v>
      </c>
    </row>
    <row r="6" spans="5:9" x14ac:dyDescent="0.2">
      <c r="E6" s="193" t="s">
        <v>192</v>
      </c>
      <c r="H6">
        <v>200</v>
      </c>
      <c r="I6" s="194">
        <f t="shared" si="0"/>
        <v>263.58361391694729</v>
      </c>
    </row>
    <row r="7" spans="5:9" x14ac:dyDescent="0.2">
      <c r="E7" s="193" t="s">
        <v>193</v>
      </c>
      <c r="H7">
        <v>220</v>
      </c>
      <c r="I7" s="194">
        <f t="shared" si="0"/>
        <v>238.07601265177021</v>
      </c>
    </row>
    <row r="8" spans="5:9" x14ac:dyDescent="0.2">
      <c r="E8" s="193" t="s">
        <v>190</v>
      </c>
      <c r="H8">
        <v>240</v>
      </c>
      <c r="I8" s="194">
        <f t="shared" si="0"/>
        <v>216.81967826412273</v>
      </c>
    </row>
    <row r="9" spans="5:9" x14ac:dyDescent="0.2">
      <c r="H9">
        <v>260</v>
      </c>
      <c r="I9" s="194">
        <f t="shared" si="0"/>
        <v>198.83354916688251</v>
      </c>
    </row>
    <row r="10" spans="5:9" x14ac:dyDescent="0.2">
      <c r="H10">
        <v>280</v>
      </c>
      <c r="I10" s="194">
        <f t="shared" si="0"/>
        <v>183.41686708353373</v>
      </c>
    </row>
    <row r="11" spans="5:9" x14ac:dyDescent="0.2">
      <c r="H11">
        <v>300</v>
      </c>
      <c r="I11" s="194">
        <f t="shared" si="0"/>
        <v>170.05574261129817</v>
      </c>
    </row>
    <row r="12" spans="5:9" x14ac:dyDescent="0.2">
      <c r="H12">
        <v>320</v>
      </c>
      <c r="I12" s="194">
        <f t="shared" si="0"/>
        <v>158.36475869809206</v>
      </c>
    </row>
    <row r="13" spans="5:9" x14ac:dyDescent="0.2">
      <c r="H13">
        <v>340</v>
      </c>
      <c r="I13" s="194">
        <f t="shared" si="0"/>
        <v>148.04918465702781</v>
      </c>
    </row>
    <row r="14" spans="5:9" x14ac:dyDescent="0.2">
      <c r="H14">
        <v>360</v>
      </c>
      <c r="I14" s="194">
        <f t="shared" si="0"/>
        <v>138.87978550941514</v>
      </c>
    </row>
    <row r="15" spans="5:9" x14ac:dyDescent="0.2">
      <c r="H15">
        <v>380</v>
      </c>
      <c r="I15" s="194">
        <f t="shared" si="0"/>
        <v>130.67558627207751</v>
      </c>
    </row>
    <row r="16" spans="5:9" x14ac:dyDescent="0.2">
      <c r="H16">
        <v>400</v>
      </c>
      <c r="I16" s="194">
        <f t="shared" si="0"/>
        <v>123.29180695847364</v>
      </c>
    </row>
    <row r="17" spans="8:9" x14ac:dyDescent="0.2">
      <c r="H17">
        <v>420</v>
      </c>
      <c r="I17" s="194">
        <f t="shared" si="0"/>
        <v>116.61124472235582</v>
      </c>
    </row>
    <row r="18" spans="8:9" x14ac:dyDescent="0.2">
      <c r="H18">
        <v>440</v>
      </c>
      <c r="I18" s="194">
        <f t="shared" si="0"/>
        <v>110.53800632588511</v>
      </c>
    </row>
    <row r="19" spans="8:9" x14ac:dyDescent="0.2">
      <c r="H19">
        <v>460</v>
      </c>
      <c r="I19" s="194">
        <f t="shared" si="0"/>
        <v>104.99287561606403</v>
      </c>
    </row>
    <row r="20" spans="8:9" x14ac:dyDescent="0.2">
      <c r="H20">
        <v>480</v>
      </c>
      <c r="I20" s="194">
        <f t="shared" si="0"/>
        <v>99.909839132061364</v>
      </c>
    </row>
    <row r="21" spans="8:9" x14ac:dyDescent="0.2">
      <c r="H21">
        <v>500</v>
      </c>
      <c r="I21" s="194">
        <f t="shared" si="0"/>
        <v>95.233445566778911</v>
      </c>
    </row>
    <row r="22" spans="8:9" x14ac:dyDescent="0.2">
      <c r="H22">
        <v>520</v>
      </c>
      <c r="I22" s="194">
        <f t="shared" si="0"/>
        <v>90.916774583441253</v>
      </c>
    </row>
    <row r="23" spans="8:9" x14ac:dyDescent="0.2">
      <c r="H23">
        <v>540</v>
      </c>
      <c r="I23" s="194">
        <f t="shared" si="0"/>
        <v>86.919857006276771</v>
      </c>
    </row>
    <row r="24" spans="8:9" x14ac:dyDescent="0.2">
      <c r="H24">
        <v>560</v>
      </c>
      <c r="I24" s="194">
        <f t="shared" si="0"/>
        <v>83.208433541766865</v>
      </c>
    </row>
    <row r="25" spans="8:9" x14ac:dyDescent="0.2">
      <c r="H25">
        <v>580</v>
      </c>
      <c r="I25" s="194">
        <f t="shared" si="0"/>
        <v>79.752970316188708</v>
      </c>
    </row>
    <row r="26" spans="8:9" x14ac:dyDescent="0.2">
      <c r="H26">
        <v>600</v>
      </c>
      <c r="I26" s="194">
        <f t="shared" si="0"/>
        <v>76.527871305649086</v>
      </c>
    </row>
    <row r="27" spans="8:9" x14ac:dyDescent="0.2">
      <c r="H27">
        <v>620</v>
      </c>
      <c r="I27" s="194">
        <f t="shared" si="0"/>
        <v>73.510843199015241</v>
      </c>
    </row>
    <row r="28" spans="8:9" x14ac:dyDescent="0.2">
      <c r="H28">
        <v>640</v>
      </c>
      <c r="I28" s="194">
        <f t="shared" si="0"/>
        <v>70.68237934904603</v>
      </c>
    </row>
    <row r="29" spans="8:9" x14ac:dyDescent="0.2">
      <c r="H29">
        <v>660</v>
      </c>
      <c r="I29" s="194">
        <f t="shared" si="0"/>
        <v>68.025337550590081</v>
      </c>
    </row>
    <row r="30" spans="8:9" x14ac:dyDescent="0.2">
      <c r="H30">
        <v>680</v>
      </c>
      <c r="I30" s="194">
        <f t="shared" si="0"/>
        <v>65.524592328513904</v>
      </c>
    </row>
    <row r="31" spans="8:9" x14ac:dyDescent="0.2">
      <c r="H31">
        <v>700</v>
      </c>
      <c r="I31" s="194">
        <f t="shared" si="0"/>
        <v>63.166746833413512</v>
      </c>
    </row>
    <row r="32" spans="8:9" x14ac:dyDescent="0.2">
      <c r="H32">
        <v>720</v>
      </c>
      <c r="I32" s="194">
        <f t="shared" si="0"/>
        <v>60.939892754707571</v>
      </c>
    </row>
    <row r="33" spans="8:9" x14ac:dyDescent="0.2">
      <c r="H33">
        <v>740</v>
      </c>
      <c r="I33" s="194">
        <f t="shared" si="0"/>
        <v>58.833409166742499</v>
      </c>
    </row>
    <row r="34" spans="8:9" x14ac:dyDescent="0.2">
      <c r="H34">
        <v>760</v>
      </c>
      <c r="I34" s="194">
        <f t="shared" si="0"/>
        <v>56.837793136038755</v>
      </c>
    </row>
    <row r="35" spans="8:9" x14ac:dyDescent="0.2">
      <c r="H35">
        <v>780</v>
      </c>
      <c r="I35" s="194">
        <f t="shared" si="0"/>
        <v>54.944516388960835</v>
      </c>
    </row>
    <row r="36" spans="8:9" x14ac:dyDescent="0.2">
      <c r="H36">
        <v>800</v>
      </c>
      <c r="I36" s="194">
        <f t="shared" si="0"/>
        <v>53.145903479236821</v>
      </c>
    </row>
    <row r="37" spans="8:9" x14ac:dyDescent="0.2">
      <c r="H37">
        <v>820</v>
      </c>
      <c r="I37" s="194">
        <f t="shared" si="0"/>
        <v>51.435027784621283</v>
      </c>
    </row>
    <row r="38" spans="8:9" x14ac:dyDescent="0.2">
      <c r="H38">
        <v>840</v>
      </c>
      <c r="I38" s="194">
        <f t="shared" si="0"/>
        <v>49.80562236117791</v>
      </c>
    </row>
    <row r="39" spans="8:9" x14ac:dyDescent="0.2">
      <c r="H39">
        <v>860</v>
      </c>
      <c r="I39" s="194">
        <f t="shared" si="0"/>
        <v>48.252003236499363</v>
      </c>
    </row>
    <row r="40" spans="8:9" x14ac:dyDescent="0.2">
      <c r="H40">
        <v>880</v>
      </c>
      <c r="I40" s="194">
        <f t="shared" si="0"/>
        <v>46.769003162942553</v>
      </c>
    </row>
    <row r="41" spans="8:9" x14ac:dyDescent="0.2">
      <c r="H41">
        <v>900</v>
      </c>
      <c r="I41" s="194">
        <f t="shared" si="0"/>
        <v>45.351914203766057</v>
      </c>
    </row>
    <row r="42" spans="8:9" x14ac:dyDescent="0.2">
      <c r="H42">
        <v>920</v>
      </c>
      <c r="I42" s="194">
        <f t="shared" si="0"/>
        <v>43.996437808032013</v>
      </c>
    </row>
    <row r="43" spans="8:9" x14ac:dyDescent="0.2">
      <c r="H43">
        <v>940</v>
      </c>
      <c r="I43" s="194">
        <f t="shared" si="0"/>
        <v>42.698641258924951</v>
      </c>
    </row>
    <row r="44" spans="8:9" x14ac:dyDescent="0.2">
      <c r="H44">
        <v>960</v>
      </c>
      <c r="I44" s="194">
        <f t="shared" si="0"/>
        <v>41.454919566030682</v>
      </c>
    </row>
    <row r="45" spans="8:9" x14ac:dyDescent="0.2">
      <c r="H45">
        <v>980</v>
      </c>
      <c r="I45" s="194">
        <f t="shared" si="0"/>
        <v>40.261962023866786</v>
      </c>
    </row>
    <row r="46" spans="8:9" x14ac:dyDescent="0.2">
      <c r="H46">
        <v>990</v>
      </c>
      <c r="I46" s="194">
        <f t="shared" si="0"/>
        <v>39.683558367060051</v>
      </c>
    </row>
    <row r="47" spans="8:9" x14ac:dyDescent="0.2">
      <c r="H47">
        <v>1000</v>
      </c>
      <c r="I47" s="194">
        <f t="shared" si="0"/>
        <v>39.116722783389456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Instructions</vt:lpstr>
      <vt:lpstr>Input and Results</vt:lpstr>
      <vt:lpstr>Sheet1</vt:lpstr>
      <vt:lpstr>C_1</vt:lpstr>
      <vt:lpstr>C_2</vt:lpstr>
      <vt:lpstr>C_3</vt:lpstr>
      <vt:lpstr>COUT</vt:lpstr>
      <vt:lpstr>DCGAIN</vt:lpstr>
      <vt:lpstr>DCR</vt:lpstr>
      <vt:lpstr>EAP</vt:lpstr>
      <vt:lpstr>ESR</vt:lpstr>
      <vt:lpstr>Fco</vt:lpstr>
      <vt:lpstr>Fp_1</vt:lpstr>
      <vt:lpstr>Fp_2</vt:lpstr>
      <vt:lpstr>Fz_1</vt:lpstr>
      <vt:lpstr>Fz_2</vt:lpstr>
      <vt:lpstr>GBWP</vt:lpstr>
      <vt:lpstr>IC</vt:lpstr>
      <vt:lpstr>IOUT_max</vt:lpstr>
      <vt:lpstr>LOUT</vt:lpstr>
      <vt:lpstr>MLCC</vt:lpstr>
      <vt:lpstr>MLCC_ESR</vt:lpstr>
      <vt:lpstr>PM</vt:lpstr>
      <vt:lpstr>'Input and Results'!Print_Area</vt:lpstr>
      <vt:lpstr>R_1</vt:lpstr>
      <vt:lpstr>R_2</vt:lpstr>
      <vt:lpstr>R_3</vt:lpstr>
      <vt:lpstr>R_4</vt:lpstr>
      <vt:lpstr>RLOAD</vt:lpstr>
      <vt:lpstr>ROUT_min</vt:lpstr>
      <vt:lpstr>VIN</vt:lpstr>
      <vt:lpstr>VOUT</vt:lpstr>
      <vt:lpstr>VRAMP</vt:lpstr>
      <vt:lpstr>VREF</vt:lpstr>
      <vt:lpstr>VRMP</vt:lpstr>
      <vt:lpstr>wCO</vt:lpstr>
    </vt:vector>
  </TitlesOfParts>
  <Company>Texas Instruments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User</dc:creator>
  <cp:lastModifiedBy>chs</cp:lastModifiedBy>
  <cp:lastPrinted>2011-08-02T18:23:58Z</cp:lastPrinted>
  <dcterms:created xsi:type="dcterms:W3CDTF">2006-12-01T12:40:51Z</dcterms:created>
  <dcterms:modified xsi:type="dcterms:W3CDTF">2020-01-21T23:12:26Z</dcterms:modified>
</cp:coreProperties>
</file>
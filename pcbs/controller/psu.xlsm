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defaultThemeVersion="166925"/>
  <mc:AlternateContent xmlns:mc="http://schemas.openxmlformats.org/markup-compatibility/2006">
    <mc:Choice Requires="x15">
      <x15ac:absPath xmlns:x15ac="http://schemas.microsoft.com/office/spreadsheetml/2010/11/ac" url="S:\dev\ws2811\pcbs\controller\"/>
    </mc:Choice>
  </mc:AlternateContent>
  <xr:revisionPtr revIDLastSave="0" documentId="13_ncr:1_{CCE9CF24-C3A7-46C7-9F4A-ACCEB235BA8C}" xr6:coauthVersionLast="43" xr6:coauthVersionMax="43" xr10:uidLastSave="{00000000-0000-0000-0000-000000000000}"/>
  <bookViews>
    <workbookView xWindow="990" yWindow="-120" windowWidth="27930" windowHeight="16440" xr2:uid="{00000000-000D-0000-FFFF-FFFF00000000}"/>
  </bookViews>
  <sheets>
    <sheet name="Sheet1" sheetId="1" r:id="rId1"/>
    <sheet name="Sheet2" sheetId="2" r:id="rId2"/>
  </sheets>
  <definedNames>
    <definedName name="_DR1">Sheet1!$H$8</definedName>
    <definedName name="_DR2">Sheet1!$H$6</definedName>
    <definedName name="_R1">Sheet1!$D$5</definedName>
    <definedName name="_R2">Sheet1!$D$8</definedName>
    <definedName name="_RR1">Sheet1!$H$5</definedName>
    <definedName name="_RR2">Sheet1!$H$8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O">Sheet1!$J$18</definedName>
    <definedName name="Ra">Sheet1!$J$24</definedName>
    <definedName name="Rb">Sheet1!$J$24</definedName>
    <definedName name="Rt">Sheet1!$J$23</definedName>
    <definedName name="V">Sheet1!$J$17</definedName>
    <definedName name="VOUT">Sheet1!$D$3</definedName>
    <definedName name="VREF">Sheet1!$D$4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D9" i="2"/>
  <c r="D10" i="2"/>
  <c r="D11" i="2"/>
  <c r="D12" i="2"/>
  <c r="D8" i="2"/>
  <c r="B2" i="2"/>
  <c r="A2" i="2"/>
  <c r="B1" i="2"/>
  <c r="J25" i="1" l="1"/>
  <c r="J21" i="1"/>
  <c r="J20" i="1"/>
  <c r="D9" i="1" l="1"/>
  <c r="H9" i="1" l="1"/>
  <c r="D6" i="1" l="1"/>
</calcChain>
</file>

<file path=xl/sharedStrings.xml><?xml version="1.0" encoding="utf-8"?>
<sst xmlns="http://schemas.openxmlformats.org/spreadsheetml/2006/main" count="38" uniqueCount="33">
  <si>
    <t>VOUT</t>
  </si>
  <si>
    <t>VREF</t>
  </si>
  <si>
    <t>R1</t>
  </si>
  <si>
    <t>R2</t>
  </si>
  <si>
    <t>VOUT'</t>
  </si>
  <si>
    <t>R2'</t>
  </si>
  <si>
    <t>Desired VOUT</t>
  </si>
  <si>
    <t>Real R2</t>
  </si>
  <si>
    <t>Real VOUT</t>
  </si>
  <si>
    <t>Required R2</t>
  </si>
  <si>
    <t xml:space="preserve"> </t>
  </si>
  <si>
    <t>DR2</t>
  </si>
  <si>
    <t>Real R1</t>
  </si>
  <si>
    <t>DR1</t>
  </si>
  <si>
    <t>R1'</t>
  </si>
  <si>
    <t>Required R1</t>
  </si>
  <si>
    <t>VIN</t>
  </si>
  <si>
    <t>Input voltage</t>
  </si>
  <si>
    <t>Output voltage</t>
  </si>
  <si>
    <t>Known Rb</t>
  </si>
  <si>
    <t>Known Rt</t>
  </si>
  <si>
    <t>Rt</t>
  </si>
  <si>
    <t>Rb</t>
  </si>
  <si>
    <t>E24 (5% and 1%)</t>
  </si>
  <si>
    <t>E96 (1%)</t>
  </si>
  <si>
    <t>Actual, given Rb,Rt inputs</t>
  </si>
  <si>
    <t>R3</t>
  </si>
  <si>
    <t>Unit</t>
  </si>
  <si>
    <t>Milli</t>
  </si>
  <si>
    <t>Micro</t>
  </si>
  <si>
    <t>Nano</t>
  </si>
  <si>
    <t>Pico</t>
  </si>
  <si>
    <t>Voltage Divider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</si>
</sst>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0000000000000"/>
    <numFmt numFmtId="166" formatCode="0.000000000000000000000000000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4" borderId="0" applyNumberFormat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164" fontId="0" fillId="3" borderId="1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1" xfId="0" applyFont="1" applyBorder="1"/>
    <xf numFmtId="0" fontId="1" fillId="4" borderId="1" xfId="1" applyBorder="1"/>
    <xf numFmtId="1" fontId="0" fillId="0" borderId="1" xfId="0" applyNumberFormat="1" applyBorder="1"/>
    <xf numFmtId="1" fontId="1" fillId="4" borderId="1" xfId="1" applyNumberFormat="1" applyBorder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8" xfId="0" applyBorder="1"/>
  </cellXfs>
  <cellStyles count="2">
    <cellStyle name="Good" xfId="1" builtinId="26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S110"/>
  <sheetViews>
    <sheetView tabSelected="1" workbookViewId="0">
      <selection activeCell="D9" sqref="D9"/>
    </sheetView>
  </sheetViews>
  <sheetFormatPr defaultRowHeight="15" x14ac:dyDescent="0.25"/>
  <cols>
    <col min="1" max="1" width="2.85546875" customWidth="1"/>
    <col min="2" max="2" width="15.140625" customWidth="1"/>
    <col min="4" max="4" width="12.140625" customWidth="1"/>
    <col min="5" max="5" width="2.85546875" customWidth="1"/>
    <col min="6" max="6" width="11.7109375" bestFit="1" customWidth="1"/>
    <col min="8" max="8" width="13.42578125" bestFit="1" customWidth="1"/>
    <col min="11" max="11" width="25" customWidth="1"/>
  </cols>
  <sheetData>
    <row r="3" spans="2:19" x14ac:dyDescent="0.25">
      <c r="B3" t="s">
        <v>6</v>
      </c>
      <c r="C3" s="1" t="s">
        <v>0</v>
      </c>
      <c r="D3" s="2">
        <v>6</v>
      </c>
    </row>
    <row r="4" spans="2:19" x14ac:dyDescent="0.25">
      <c r="C4" s="1" t="s">
        <v>1</v>
      </c>
      <c r="D4" s="2">
        <v>0.7</v>
      </c>
    </row>
    <row r="5" spans="2:19" x14ac:dyDescent="0.25">
      <c r="C5" s="1" t="s">
        <v>2</v>
      </c>
      <c r="D5" s="2">
        <v>110000</v>
      </c>
      <c r="F5" t="s">
        <v>15</v>
      </c>
      <c r="G5" s="1" t="s">
        <v>13</v>
      </c>
      <c r="H5" s="4">
        <f>_DR2*((VOUT/VREF)-1)</f>
        <v>10600</v>
      </c>
    </row>
    <row r="6" spans="2:19" x14ac:dyDescent="0.25">
      <c r="B6" t="s">
        <v>9</v>
      </c>
      <c r="C6" s="1" t="s">
        <v>3</v>
      </c>
      <c r="D6" s="3">
        <f>_R1/((VOUT/VREF)-1)</f>
        <v>14528.301886792453</v>
      </c>
      <c r="G6" s="1" t="s">
        <v>11</v>
      </c>
      <c r="H6" s="2">
        <v>1400</v>
      </c>
    </row>
    <row r="8" spans="2:19" x14ac:dyDescent="0.25">
      <c r="B8" t="s">
        <v>7</v>
      </c>
      <c r="C8" s="1" t="s">
        <v>5</v>
      </c>
      <c r="D8" s="2">
        <v>15000</v>
      </c>
      <c r="F8" t="s">
        <v>12</v>
      </c>
      <c r="G8" s="1" t="s">
        <v>14</v>
      </c>
      <c r="H8" s="2">
        <v>10000</v>
      </c>
    </row>
    <row r="9" spans="2:19" x14ac:dyDescent="0.25">
      <c r="B9" t="s">
        <v>8</v>
      </c>
      <c r="C9" s="1" t="s">
        <v>4</v>
      </c>
      <c r="D9" s="5">
        <f>(1+(_R1/_R2))*VREF</f>
        <v>5.8333333333333321</v>
      </c>
      <c r="F9" t="s">
        <v>8</v>
      </c>
      <c r="G9" s="1" t="s">
        <v>4</v>
      </c>
      <c r="H9" s="5">
        <f>(1+(_DR1/_DR2))*VREF</f>
        <v>5.6999999999999993</v>
      </c>
    </row>
    <row r="14" spans="2:19" x14ac:dyDescent="0.25">
      <c r="O14" t="s">
        <v>23</v>
      </c>
      <c r="S14" t="s">
        <v>24</v>
      </c>
    </row>
    <row r="15" spans="2:19" ht="15.75" thickBot="1" x14ac:dyDescent="0.3">
      <c r="D15" t="s">
        <v>10</v>
      </c>
      <c r="H15" s="21" t="s">
        <v>32</v>
      </c>
      <c r="I15" s="21"/>
      <c r="J15" s="21"/>
      <c r="K15" s="21"/>
      <c r="L15" s="21"/>
      <c r="O15" s="1">
        <v>10</v>
      </c>
      <c r="S15" s="1">
        <v>100</v>
      </c>
    </row>
    <row r="16" spans="2:19" x14ac:dyDescent="0.25">
      <c r="H16" s="6"/>
      <c r="I16" s="7"/>
      <c r="J16" s="7"/>
      <c r="K16" s="7"/>
      <c r="L16" s="8"/>
      <c r="O16" s="1">
        <v>11</v>
      </c>
      <c r="S16" s="1">
        <v>102</v>
      </c>
    </row>
    <row r="17" spans="8:19" x14ac:dyDescent="0.25">
      <c r="H17" s="9"/>
      <c r="I17" s="14" t="s">
        <v>16</v>
      </c>
      <c r="J17" s="15">
        <v>24</v>
      </c>
      <c r="K17" t="s">
        <v>17</v>
      </c>
      <c r="L17" s="10"/>
      <c r="O17" s="1">
        <v>12</v>
      </c>
      <c r="S17" s="1">
        <v>105</v>
      </c>
    </row>
    <row r="18" spans="8:19" x14ac:dyDescent="0.25">
      <c r="H18" s="9"/>
      <c r="I18" s="14" t="s">
        <v>0</v>
      </c>
      <c r="J18" s="15">
        <v>6</v>
      </c>
      <c r="K18" t="s">
        <v>18</v>
      </c>
      <c r="L18" s="10"/>
      <c r="O18" s="1">
        <v>13</v>
      </c>
      <c r="S18" s="1">
        <v>107</v>
      </c>
    </row>
    <row r="19" spans="8:19" x14ac:dyDescent="0.25">
      <c r="H19" s="9"/>
      <c r="L19" s="10"/>
      <c r="O19" s="1">
        <v>15</v>
      </c>
      <c r="S19" s="1">
        <v>110</v>
      </c>
    </row>
    <row r="20" spans="8:19" x14ac:dyDescent="0.25">
      <c r="H20" s="9"/>
      <c r="I20" s="1" t="s">
        <v>21</v>
      </c>
      <c r="J20" s="16">
        <f>((J17*J24)/J18)-J24</f>
        <v>90000</v>
      </c>
      <c r="L20" s="10"/>
      <c r="O20" s="1">
        <v>16</v>
      </c>
      <c r="S20" s="1">
        <v>113</v>
      </c>
    </row>
    <row r="21" spans="8:19" x14ac:dyDescent="0.25">
      <c r="H21" s="9"/>
      <c r="I21" s="1" t="s">
        <v>22</v>
      </c>
      <c r="J21" s="16">
        <f>Rt/((V/O)-1)</f>
        <v>33333.333333333336</v>
      </c>
      <c r="L21" s="10"/>
      <c r="O21" s="1">
        <v>18</v>
      </c>
      <c r="S21" s="1">
        <v>115</v>
      </c>
    </row>
    <row r="22" spans="8:19" x14ac:dyDescent="0.25">
      <c r="H22" s="9"/>
      <c r="J22" s="18"/>
      <c r="L22" s="10"/>
      <c r="O22" s="1">
        <v>20</v>
      </c>
      <c r="S22" s="1">
        <v>118</v>
      </c>
    </row>
    <row r="23" spans="8:19" x14ac:dyDescent="0.25">
      <c r="H23" s="9"/>
      <c r="I23" s="14" t="s">
        <v>21</v>
      </c>
      <c r="J23" s="17">
        <v>100000</v>
      </c>
      <c r="K23" t="s">
        <v>20</v>
      </c>
      <c r="L23" s="10"/>
      <c r="O23" s="1">
        <v>22</v>
      </c>
      <c r="S23" s="1">
        <v>121</v>
      </c>
    </row>
    <row r="24" spans="8:19" x14ac:dyDescent="0.25">
      <c r="H24" s="9"/>
      <c r="I24" s="14" t="s">
        <v>22</v>
      </c>
      <c r="J24" s="17">
        <v>30000</v>
      </c>
      <c r="K24" t="s">
        <v>19</v>
      </c>
      <c r="L24" s="10"/>
      <c r="O24" s="1">
        <v>24</v>
      </c>
      <c r="S24" s="1">
        <v>124</v>
      </c>
    </row>
    <row r="25" spans="8:19" x14ac:dyDescent="0.25">
      <c r="H25" s="9"/>
      <c r="J25">
        <f>V/(Rt/Ra+1)</f>
        <v>5.5384615384615374</v>
      </c>
      <c r="K25" t="s">
        <v>25</v>
      </c>
      <c r="L25" s="10"/>
      <c r="O25" s="1">
        <v>27</v>
      </c>
      <c r="S25" s="1">
        <v>127</v>
      </c>
    </row>
    <row r="26" spans="8:19" ht="15.75" thickBot="1" x14ac:dyDescent="0.3">
      <c r="H26" s="11"/>
      <c r="I26" s="12"/>
      <c r="J26" s="12"/>
      <c r="K26" s="12"/>
      <c r="L26" s="13"/>
      <c r="O26" s="1">
        <v>30</v>
      </c>
      <c r="S26" s="1">
        <v>130</v>
      </c>
    </row>
    <row r="27" spans="8:19" x14ac:dyDescent="0.25">
      <c r="O27" s="1">
        <v>33</v>
      </c>
      <c r="S27" s="1">
        <v>133</v>
      </c>
    </row>
    <row r="28" spans="8:19" x14ac:dyDescent="0.25">
      <c r="O28" s="1">
        <v>36</v>
      </c>
      <c r="S28" s="1">
        <v>137</v>
      </c>
    </row>
    <row r="29" spans="8:19" x14ac:dyDescent="0.25">
      <c r="O29" s="1">
        <v>39</v>
      </c>
      <c r="S29" s="1">
        <v>140</v>
      </c>
    </row>
    <row r="30" spans="8:19" x14ac:dyDescent="0.25">
      <c r="O30" s="1">
        <v>43</v>
      </c>
      <c r="S30" s="1">
        <v>143</v>
      </c>
    </row>
    <row r="31" spans="8:19" x14ac:dyDescent="0.25">
      <c r="O31" s="1">
        <v>47</v>
      </c>
      <c r="S31" s="1">
        <v>147</v>
      </c>
    </row>
    <row r="32" spans="8:19" x14ac:dyDescent="0.25">
      <c r="O32" s="1">
        <v>51</v>
      </c>
      <c r="S32" s="1">
        <v>150</v>
      </c>
    </row>
    <row r="33" spans="15:19" x14ac:dyDescent="0.25">
      <c r="O33" s="1">
        <v>56</v>
      </c>
      <c r="S33" s="1">
        <v>154</v>
      </c>
    </row>
    <row r="34" spans="15:19" x14ac:dyDescent="0.25">
      <c r="O34" s="1">
        <v>62</v>
      </c>
      <c r="S34" s="1">
        <v>158</v>
      </c>
    </row>
    <row r="35" spans="15:19" x14ac:dyDescent="0.25">
      <c r="O35" s="1">
        <v>68</v>
      </c>
      <c r="S35" s="1">
        <v>162</v>
      </c>
    </row>
    <row r="36" spans="15:19" x14ac:dyDescent="0.25">
      <c r="O36" s="1">
        <v>75</v>
      </c>
      <c r="S36" s="1">
        <v>165</v>
      </c>
    </row>
    <row r="37" spans="15:19" x14ac:dyDescent="0.25">
      <c r="O37" s="1">
        <v>82</v>
      </c>
      <c r="S37" s="1">
        <v>169</v>
      </c>
    </row>
    <row r="38" spans="15:19" x14ac:dyDescent="0.25">
      <c r="O38" s="1">
        <v>91</v>
      </c>
      <c r="S38" s="1">
        <v>174</v>
      </c>
    </row>
    <row r="39" spans="15:19" x14ac:dyDescent="0.25">
      <c r="S39" s="1">
        <v>178</v>
      </c>
    </row>
    <row r="40" spans="15:19" x14ac:dyDescent="0.25">
      <c r="S40" s="1">
        <v>182</v>
      </c>
    </row>
    <row r="41" spans="15:19" x14ac:dyDescent="0.25">
      <c r="S41" s="1">
        <v>187</v>
      </c>
    </row>
    <row r="42" spans="15:19" x14ac:dyDescent="0.25">
      <c r="S42" s="1">
        <v>191</v>
      </c>
    </row>
    <row r="43" spans="15:19" x14ac:dyDescent="0.25">
      <c r="S43" s="1">
        <v>196</v>
      </c>
    </row>
    <row r="44" spans="15:19" x14ac:dyDescent="0.25">
      <c r="S44" s="1">
        <v>200</v>
      </c>
    </row>
    <row r="45" spans="15:19" x14ac:dyDescent="0.25">
      <c r="S45" s="1">
        <v>205</v>
      </c>
    </row>
    <row r="46" spans="15:19" x14ac:dyDescent="0.25">
      <c r="S46" s="1">
        <v>210</v>
      </c>
    </row>
    <row r="47" spans="15:19" x14ac:dyDescent="0.25">
      <c r="S47" s="1">
        <v>215</v>
      </c>
    </row>
    <row r="48" spans="15:19" x14ac:dyDescent="0.25">
      <c r="S48" s="1">
        <v>221</v>
      </c>
    </row>
    <row r="49" spans="19:19" x14ac:dyDescent="0.25">
      <c r="S49" s="1">
        <v>226</v>
      </c>
    </row>
    <row r="50" spans="19:19" x14ac:dyDescent="0.25">
      <c r="S50" s="1">
        <v>232</v>
      </c>
    </row>
    <row r="51" spans="19:19" x14ac:dyDescent="0.25">
      <c r="S51" s="1">
        <v>237</v>
      </c>
    </row>
    <row r="52" spans="19:19" x14ac:dyDescent="0.25">
      <c r="S52" s="1">
        <v>243</v>
      </c>
    </row>
    <row r="53" spans="19:19" x14ac:dyDescent="0.25">
      <c r="S53" s="1">
        <v>249</v>
      </c>
    </row>
    <row r="54" spans="19:19" x14ac:dyDescent="0.25">
      <c r="S54" s="1">
        <v>255</v>
      </c>
    </row>
    <row r="55" spans="19:19" x14ac:dyDescent="0.25">
      <c r="S55" s="1">
        <v>261</v>
      </c>
    </row>
    <row r="56" spans="19:19" x14ac:dyDescent="0.25">
      <c r="S56" s="1">
        <v>267</v>
      </c>
    </row>
    <row r="57" spans="19:19" x14ac:dyDescent="0.25">
      <c r="S57" s="1">
        <v>274</v>
      </c>
    </row>
    <row r="58" spans="19:19" x14ac:dyDescent="0.25">
      <c r="S58" s="1">
        <v>280</v>
      </c>
    </row>
    <row r="59" spans="19:19" x14ac:dyDescent="0.25">
      <c r="S59" s="1">
        <v>287</v>
      </c>
    </row>
    <row r="60" spans="19:19" x14ac:dyDescent="0.25">
      <c r="S60" s="1">
        <v>294</v>
      </c>
    </row>
    <row r="61" spans="19:19" x14ac:dyDescent="0.25">
      <c r="S61" s="1">
        <v>301</v>
      </c>
    </row>
    <row r="62" spans="19:19" x14ac:dyDescent="0.25">
      <c r="S62" s="1">
        <v>309</v>
      </c>
    </row>
    <row r="63" spans="19:19" x14ac:dyDescent="0.25">
      <c r="S63" s="1">
        <v>316</v>
      </c>
    </row>
    <row r="64" spans="19:19" x14ac:dyDescent="0.25">
      <c r="S64" s="1">
        <v>324</v>
      </c>
    </row>
    <row r="65" spans="19:19" x14ac:dyDescent="0.25">
      <c r="S65" s="1">
        <v>332</v>
      </c>
    </row>
    <row r="66" spans="19:19" x14ac:dyDescent="0.25">
      <c r="S66" s="1">
        <v>340</v>
      </c>
    </row>
    <row r="67" spans="19:19" x14ac:dyDescent="0.25">
      <c r="S67" s="1">
        <v>348</v>
      </c>
    </row>
    <row r="68" spans="19:19" x14ac:dyDescent="0.25">
      <c r="S68" s="1">
        <v>357</v>
      </c>
    </row>
    <row r="69" spans="19:19" x14ac:dyDescent="0.25">
      <c r="S69" s="1">
        <v>365</v>
      </c>
    </row>
    <row r="70" spans="19:19" x14ac:dyDescent="0.25">
      <c r="S70" s="1">
        <v>374</v>
      </c>
    </row>
    <row r="71" spans="19:19" x14ac:dyDescent="0.25">
      <c r="S71" s="1">
        <v>383</v>
      </c>
    </row>
    <row r="72" spans="19:19" x14ac:dyDescent="0.25">
      <c r="S72" s="1">
        <v>392</v>
      </c>
    </row>
    <row r="73" spans="19:19" x14ac:dyDescent="0.25">
      <c r="S73" s="1">
        <v>402</v>
      </c>
    </row>
    <row r="74" spans="19:19" x14ac:dyDescent="0.25">
      <c r="S74" s="1">
        <v>412</v>
      </c>
    </row>
    <row r="75" spans="19:19" x14ac:dyDescent="0.25">
      <c r="S75" s="1">
        <v>422</v>
      </c>
    </row>
    <row r="76" spans="19:19" x14ac:dyDescent="0.25">
      <c r="S76" s="1">
        <v>432</v>
      </c>
    </row>
    <row r="77" spans="19:19" x14ac:dyDescent="0.25">
      <c r="S77" s="1">
        <v>442</v>
      </c>
    </row>
    <row r="78" spans="19:19" x14ac:dyDescent="0.25">
      <c r="S78" s="1">
        <v>453</v>
      </c>
    </row>
    <row r="79" spans="19:19" x14ac:dyDescent="0.25">
      <c r="S79" s="1">
        <v>464</v>
      </c>
    </row>
    <row r="80" spans="19:19" x14ac:dyDescent="0.25">
      <c r="S80" s="1">
        <v>475</v>
      </c>
    </row>
    <row r="81" spans="19:19" x14ac:dyDescent="0.25">
      <c r="S81" s="1">
        <v>487</v>
      </c>
    </row>
    <row r="82" spans="19:19" x14ac:dyDescent="0.25">
      <c r="S82" s="1">
        <v>499</v>
      </c>
    </row>
    <row r="83" spans="19:19" x14ac:dyDescent="0.25">
      <c r="S83" s="1">
        <v>511</v>
      </c>
    </row>
    <row r="84" spans="19:19" x14ac:dyDescent="0.25">
      <c r="S84" s="1">
        <v>523</v>
      </c>
    </row>
    <row r="85" spans="19:19" x14ac:dyDescent="0.25">
      <c r="S85" s="1">
        <v>536</v>
      </c>
    </row>
    <row r="86" spans="19:19" x14ac:dyDescent="0.25">
      <c r="S86" s="1">
        <v>549</v>
      </c>
    </row>
    <row r="87" spans="19:19" x14ac:dyDescent="0.25">
      <c r="S87" s="1">
        <v>562</v>
      </c>
    </row>
    <row r="88" spans="19:19" x14ac:dyDescent="0.25">
      <c r="S88" s="1">
        <v>576</v>
      </c>
    </row>
    <row r="89" spans="19:19" x14ac:dyDescent="0.25">
      <c r="S89" s="1">
        <v>590</v>
      </c>
    </row>
    <row r="90" spans="19:19" x14ac:dyDescent="0.25">
      <c r="S90" s="1">
        <v>604</v>
      </c>
    </row>
    <row r="91" spans="19:19" x14ac:dyDescent="0.25">
      <c r="S91" s="1">
        <v>619</v>
      </c>
    </row>
    <row r="92" spans="19:19" x14ac:dyDescent="0.25">
      <c r="S92" s="1">
        <v>634</v>
      </c>
    </row>
    <row r="93" spans="19:19" x14ac:dyDescent="0.25">
      <c r="S93" s="1">
        <v>649</v>
      </c>
    </row>
    <row r="94" spans="19:19" x14ac:dyDescent="0.25">
      <c r="S94" s="1">
        <v>665</v>
      </c>
    </row>
    <row r="95" spans="19:19" x14ac:dyDescent="0.25">
      <c r="S95" s="1">
        <v>681</v>
      </c>
    </row>
    <row r="96" spans="19:19" x14ac:dyDescent="0.25">
      <c r="S96" s="1">
        <v>698</v>
      </c>
    </row>
    <row r="97" spans="19:19" x14ac:dyDescent="0.25">
      <c r="S97" s="1">
        <v>715</v>
      </c>
    </row>
    <row r="98" spans="19:19" x14ac:dyDescent="0.25">
      <c r="S98" s="1">
        <v>732</v>
      </c>
    </row>
    <row r="99" spans="19:19" x14ac:dyDescent="0.25">
      <c r="S99" s="1">
        <v>750</v>
      </c>
    </row>
    <row r="100" spans="19:19" x14ac:dyDescent="0.25">
      <c r="S100" s="1">
        <v>768</v>
      </c>
    </row>
    <row r="101" spans="19:19" x14ac:dyDescent="0.25">
      <c r="S101" s="1">
        <v>787</v>
      </c>
    </row>
    <row r="102" spans="19:19" x14ac:dyDescent="0.25">
      <c r="S102" s="1">
        <v>806</v>
      </c>
    </row>
    <row r="103" spans="19:19" x14ac:dyDescent="0.25">
      <c r="S103" s="1">
        <v>825</v>
      </c>
    </row>
    <row r="104" spans="19:19" x14ac:dyDescent="0.25">
      <c r="S104" s="1">
        <v>845</v>
      </c>
    </row>
    <row r="105" spans="19:19" x14ac:dyDescent="0.25">
      <c r="S105" s="1">
        <v>866</v>
      </c>
    </row>
    <row r="106" spans="19:19" x14ac:dyDescent="0.25">
      <c r="S106" s="1">
        <v>887</v>
      </c>
    </row>
    <row r="107" spans="19:19" x14ac:dyDescent="0.25">
      <c r="S107" s="1">
        <v>909</v>
      </c>
    </row>
    <row r="108" spans="19:19" x14ac:dyDescent="0.25">
      <c r="S108" s="1">
        <v>931</v>
      </c>
    </row>
    <row r="109" spans="19:19" x14ac:dyDescent="0.25">
      <c r="S109" s="1">
        <v>953</v>
      </c>
    </row>
    <row r="110" spans="19:19" x14ac:dyDescent="0.25">
      <c r="S110" s="1">
        <v>976</v>
      </c>
    </row>
  </sheetData>
  <mergeCells count="1">
    <mergeCell ref="H15:L15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E69C-0DB3-417C-9863-5E71CE6EA939}">
  <dimension ref="A1:D12"/>
  <sheetViews>
    <sheetView workbookViewId="0">
      <selection activeCell="B2" sqref="B2"/>
    </sheetView>
  </sheetViews>
  <sheetFormatPr defaultRowHeight="15" x14ac:dyDescent="0.25"/>
  <cols>
    <col min="1" max="1" width="37.28515625" customWidth="1"/>
    <col min="2" max="2" width="40.28515625" customWidth="1"/>
    <col min="4" max="4" width="32.85546875" customWidth="1"/>
  </cols>
  <sheetData>
    <row r="1" spans="1:4" x14ac:dyDescent="0.25">
      <c r="A1" t="s">
        <v>26</v>
      </c>
      <c r="B1">
        <f>POWER(10,(-5.1/20))/(92/1000000)*(5.7/0.8)</f>
        <v>43052.367750561141</v>
      </c>
    </row>
    <row r="2" spans="1:4" x14ac:dyDescent="0.25">
      <c r="A2">
        <f>2*314159265*B1*(20000/10)</f>
        <v>5.4101200836103968E+16</v>
      </c>
      <c r="B2" s="20">
        <f>1/A2</f>
        <v>1.8483878075635222E-17</v>
      </c>
    </row>
    <row r="8" spans="1:4" x14ac:dyDescent="0.25">
      <c r="B8">
        <v>1</v>
      </c>
      <c r="C8" t="s">
        <v>27</v>
      </c>
      <c r="D8" s="19">
        <f>1/B8</f>
        <v>1</v>
      </c>
    </row>
    <row r="9" spans="1:4" x14ac:dyDescent="0.25">
      <c r="B9">
        <v>1000</v>
      </c>
      <c r="C9" t="s">
        <v>28</v>
      </c>
      <c r="D9" s="19">
        <f t="shared" ref="D9:D12" si="0">1/B9</f>
        <v>1E-3</v>
      </c>
    </row>
    <row r="10" spans="1:4" x14ac:dyDescent="0.25">
      <c r="B10">
        <v>1000000</v>
      </c>
      <c r="C10" t="s">
        <v>29</v>
      </c>
      <c r="D10" s="19">
        <f t="shared" si="0"/>
        <v>9.9999999999999995E-7</v>
      </c>
    </row>
    <row r="11" spans="1:4" x14ac:dyDescent="0.25">
      <c r="B11">
        <v>1000000000</v>
      </c>
      <c r="C11" t="s">
        <v>30</v>
      </c>
      <c r="D11" s="19">
        <f t="shared" si="0"/>
        <v>1.0000000000000001E-9</v>
      </c>
    </row>
    <row r="12" spans="1:4" x14ac:dyDescent="0.25">
      <c r="B12" s="18">
        <v>1000000000000</v>
      </c>
      <c r="C12" t="s">
        <v>31</v>
      </c>
      <c r="D12" s="19">
        <f t="shared" si="0"/>
        <v>9.9999999999999998E-13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Sheet1</vt:lpstr>
      <vt:lpstr>Sheet2</vt:lpstr>
      <vt:lpstr>_DR1</vt:lpstr>
      <vt:lpstr>_DR2</vt:lpstr>
      <vt:lpstr>_R1</vt:lpstr>
      <vt:lpstr>_R2</vt:lpstr>
      <vt:lpstr>_RR1</vt:lpstr>
      <vt:lpstr>_RR2</vt:lpstr>
      <vt:lpstr>O</vt:lpstr>
      <vt:lpstr>Ra</vt:lpstr>
      <vt:lpstr>Rb</vt:lpstr>
      <vt:lpstr>Rt</vt:lpstr>
      <vt:lpstr>V</vt:lpstr>
      <vt:lpstr>VOUT</vt:lpstr>
      <vt:lpstr>VREF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cskilbeck</cp:lastModifiedBy>
  <dcterms:created xsi:type="dcterms:W3CDTF">2018-02-15T20:30:01Z</dcterms:created>
  <dcterms:modified xsi:type="dcterms:W3CDTF">2019-06-13T22:06:03Z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055d9cdf-e982-4a21-9c11-515f671f99db</vt:lpwstr>
  </property>
</Properties>
</file>